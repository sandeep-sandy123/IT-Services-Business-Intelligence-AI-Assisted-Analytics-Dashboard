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4.xml" ContentType="application/vnd.openxmlformats-officedocument.spreadsheetml.pivot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ivotTables/pivotTable5.xml" ContentType="application/vnd.openxmlformats-officedocument.spreadsheetml.pivot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E16898C-E835-41CD-AC9D-49E52F66F36A}" xr6:coauthVersionLast="47" xr6:coauthVersionMax="47" xr10:uidLastSave="{00000000-0000-0000-0000-000000000000}"/>
  <bookViews>
    <workbookView xWindow="-108" yWindow="-108" windowWidth="23256" windowHeight="12456" tabRatio="635" activeTab="7" xr2:uid="{00000000-000D-0000-FFFF-FFFF00000000}"/>
  </bookViews>
  <sheets>
    <sheet name="Clients" sheetId="1" r:id="rId1"/>
    <sheet name="Services" sheetId="2" r:id="rId2"/>
    <sheet name="Projects" sheetId="3" r:id="rId3"/>
    <sheet name="Employees" sheetId="4" r:id="rId4"/>
    <sheet name="Project_Assignments" sheetId="5" r:id="rId5"/>
    <sheet name="Invoices" sheetId="6" r:id="rId6"/>
    <sheet name="Customer_Feedback" sheetId="7" r:id="rId7"/>
    <sheet name="Calendar" sheetId="8" r:id="rId8"/>
  </sheets>
  <calcPr calcId="191029"/>
  <pivotCaches>
    <pivotCache cacheId="0" r:id="rId9"/>
    <pivotCache cacheId="1" r:id="rId10"/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9" i="3" l="1"/>
  <c r="K2" i="6"/>
  <c r="J2" i="6"/>
  <c r="I2" i="6"/>
  <c r="I13" i="7"/>
  <c r="T29" i="3"/>
  <c r="S29" i="3"/>
  <c r="R29" i="3"/>
  <c r="Q29" i="3"/>
  <c r="P29" i="3"/>
  <c r="Q25" i="3"/>
  <c r="P25" i="3"/>
  <c r="K10" i="1"/>
  <c r="J10" i="1"/>
</calcChain>
</file>

<file path=xl/sharedStrings.xml><?xml version="1.0" encoding="utf-8"?>
<sst xmlns="http://schemas.openxmlformats.org/spreadsheetml/2006/main" count="10055" uniqueCount="2095">
  <si>
    <t>Client_ID</t>
  </si>
  <si>
    <t>Client_Name</t>
  </si>
  <si>
    <t>Industry</t>
  </si>
  <si>
    <t>City</t>
  </si>
  <si>
    <t>Client_Segment</t>
  </si>
  <si>
    <t>Onboard_Date</t>
  </si>
  <si>
    <t>C001</t>
  </si>
  <si>
    <t>Client 001</t>
  </si>
  <si>
    <t>Hospitality</t>
  </si>
  <si>
    <t>Delhi</t>
  </si>
  <si>
    <t>Enterprise</t>
  </si>
  <si>
    <t>C002</t>
  </si>
  <si>
    <t>Client 002</t>
  </si>
  <si>
    <t>Education</t>
  </si>
  <si>
    <t>Ahmedabad</t>
  </si>
  <si>
    <t>SMB</t>
  </si>
  <si>
    <t>C003</t>
  </si>
  <si>
    <t>Client 003</t>
  </si>
  <si>
    <t>Real Estate</t>
  </si>
  <si>
    <t>Kolkata</t>
  </si>
  <si>
    <t>Mid-Market</t>
  </si>
  <si>
    <t>C004</t>
  </si>
  <si>
    <t>Client 004</t>
  </si>
  <si>
    <t>Manufacturing</t>
  </si>
  <si>
    <t>Visakhapatnam</t>
  </si>
  <si>
    <t>C005</t>
  </si>
  <si>
    <t>Client 005</t>
  </si>
  <si>
    <t>C006</t>
  </si>
  <si>
    <t>Client 006</t>
  </si>
  <si>
    <t>Professional Services</t>
  </si>
  <si>
    <t>C007</t>
  </si>
  <si>
    <t>Client 007</t>
  </si>
  <si>
    <t>Finance</t>
  </si>
  <si>
    <t>Bengaluru</t>
  </si>
  <si>
    <t>C008</t>
  </si>
  <si>
    <t>Client 008</t>
  </si>
  <si>
    <t>C009</t>
  </si>
  <si>
    <t>Client 009</t>
  </si>
  <si>
    <t>C010</t>
  </si>
  <si>
    <t>Client 010</t>
  </si>
  <si>
    <t>C011</t>
  </si>
  <si>
    <t>Client 011</t>
  </si>
  <si>
    <t>C012</t>
  </si>
  <si>
    <t>Client 012</t>
  </si>
  <si>
    <t>C013</t>
  </si>
  <si>
    <t>Client 013</t>
  </si>
  <si>
    <t>Pune</t>
  </si>
  <si>
    <t>C014</t>
  </si>
  <si>
    <t>Client 014</t>
  </si>
  <si>
    <t>Kochi</t>
  </si>
  <si>
    <t>C015</t>
  </si>
  <si>
    <t>Client 015</t>
  </si>
  <si>
    <t>Logistics</t>
  </si>
  <si>
    <t>C016</t>
  </si>
  <si>
    <t>Client 016</t>
  </si>
  <si>
    <t>C017</t>
  </si>
  <si>
    <t>Client 017</t>
  </si>
  <si>
    <t>Healthcare</t>
  </si>
  <si>
    <t>C018</t>
  </si>
  <si>
    <t>Client 018</t>
  </si>
  <si>
    <t>C019</t>
  </si>
  <si>
    <t>Client 019</t>
  </si>
  <si>
    <t>C020</t>
  </si>
  <si>
    <t>Client 020</t>
  </si>
  <si>
    <t>C021</t>
  </si>
  <si>
    <t>Client 021</t>
  </si>
  <si>
    <t>Hyderabad</t>
  </si>
  <si>
    <t>C022</t>
  </si>
  <si>
    <t>Client 022</t>
  </si>
  <si>
    <t>Retail</t>
  </si>
  <si>
    <t>C023</t>
  </si>
  <si>
    <t>Client 023</t>
  </si>
  <si>
    <t>C024</t>
  </si>
  <si>
    <t>Client 024</t>
  </si>
  <si>
    <t>C025</t>
  </si>
  <si>
    <t>Client 025</t>
  </si>
  <si>
    <t>Media</t>
  </si>
  <si>
    <t>C026</t>
  </si>
  <si>
    <t>Client 026</t>
  </si>
  <si>
    <t>C027</t>
  </si>
  <si>
    <t>Client 027</t>
  </si>
  <si>
    <t>C028</t>
  </si>
  <si>
    <t>Client 028</t>
  </si>
  <si>
    <t>C029</t>
  </si>
  <si>
    <t>Client 029</t>
  </si>
  <si>
    <t>Mumbai</t>
  </si>
  <si>
    <t>C030</t>
  </si>
  <si>
    <t>Client 030</t>
  </si>
  <si>
    <t>C031</t>
  </si>
  <si>
    <t>Client 031</t>
  </si>
  <si>
    <t>C032</t>
  </si>
  <si>
    <t>Client 032</t>
  </si>
  <si>
    <t>C033</t>
  </si>
  <si>
    <t>Client 033</t>
  </si>
  <si>
    <t>C034</t>
  </si>
  <si>
    <t>Client 034</t>
  </si>
  <si>
    <t>C035</t>
  </si>
  <si>
    <t>Client 035</t>
  </si>
  <si>
    <t>C036</t>
  </si>
  <si>
    <t>Client 036</t>
  </si>
  <si>
    <t>C037</t>
  </si>
  <si>
    <t>Client 037</t>
  </si>
  <si>
    <t>C038</t>
  </si>
  <si>
    <t>Client 038</t>
  </si>
  <si>
    <t>C039</t>
  </si>
  <si>
    <t>Client 039</t>
  </si>
  <si>
    <t>C040</t>
  </si>
  <si>
    <t>Client 040</t>
  </si>
  <si>
    <t>C041</t>
  </si>
  <si>
    <t>Client 041</t>
  </si>
  <si>
    <t>C042</t>
  </si>
  <si>
    <t>Client 042</t>
  </si>
  <si>
    <t>C043</t>
  </si>
  <si>
    <t>Client 043</t>
  </si>
  <si>
    <t>C044</t>
  </si>
  <si>
    <t>Client 044</t>
  </si>
  <si>
    <t>C045</t>
  </si>
  <si>
    <t>Client 045</t>
  </si>
  <si>
    <t>C046</t>
  </si>
  <si>
    <t>Client 046</t>
  </si>
  <si>
    <t>Chennai</t>
  </si>
  <si>
    <t>C047</t>
  </si>
  <si>
    <t>Client 047</t>
  </si>
  <si>
    <t>C048</t>
  </si>
  <si>
    <t>Client 048</t>
  </si>
  <si>
    <t>C049</t>
  </si>
  <si>
    <t>Client 049</t>
  </si>
  <si>
    <t>C050</t>
  </si>
  <si>
    <t>Client 050</t>
  </si>
  <si>
    <t>C051</t>
  </si>
  <si>
    <t>Client 051</t>
  </si>
  <si>
    <t>C052</t>
  </si>
  <si>
    <t>Client 052</t>
  </si>
  <si>
    <t>C053</t>
  </si>
  <si>
    <t>Client 053</t>
  </si>
  <si>
    <t>C054</t>
  </si>
  <si>
    <t>Client 054</t>
  </si>
  <si>
    <t>C055</t>
  </si>
  <si>
    <t>Client 055</t>
  </si>
  <si>
    <t>C056</t>
  </si>
  <si>
    <t>Client 056</t>
  </si>
  <si>
    <t>C057</t>
  </si>
  <si>
    <t>Client 057</t>
  </si>
  <si>
    <t>C058</t>
  </si>
  <si>
    <t>Client 058</t>
  </si>
  <si>
    <t>C059</t>
  </si>
  <si>
    <t>Client 059</t>
  </si>
  <si>
    <t>C060</t>
  </si>
  <si>
    <t>Client 060</t>
  </si>
  <si>
    <t>C061</t>
  </si>
  <si>
    <t>Client 061</t>
  </si>
  <si>
    <t>C062</t>
  </si>
  <si>
    <t>Client 062</t>
  </si>
  <si>
    <t>C063</t>
  </si>
  <si>
    <t>Client 063</t>
  </si>
  <si>
    <t>C064</t>
  </si>
  <si>
    <t>Client 064</t>
  </si>
  <si>
    <t>C065</t>
  </si>
  <si>
    <t>Client 065</t>
  </si>
  <si>
    <t>C066</t>
  </si>
  <si>
    <t>Client 066</t>
  </si>
  <si>
    <t>C067</t>
  </si>
  <si>
    <t>Client 067</t>
  </si>
  <si>
    <t>C068</t>
  </si>
  <si>
    <t>Client 068</t>
  </si>
  <si>
    <t>C069</t>
  </si>
  <si>
    <t>Client 069</t>
  </si>
  <si>
    <t>C070</t>
  </si>
  <si>
    <t>Client 070</t>
  </si>
  <si>
    <t>C071</t>
  </si>
  <si>
    <t>Client 071</t>
  </si>
  <si>
    <t>C072</t>
  </si>
  <si>
    <t>Client 072</t>
  </si>
  <si>
    <t>C073</t>
  </si>
  <si>
    <t>Client 073</t>
  </si>
  <si>
    <t>C074</t>
  </si>
  <si>
    <t>Client 074</t>
  </si>
  <si>
    <t>C075</t>
  </si>
  <si>
    <t>Client 075</t>
  </si>
  <si>
    <t>C076</t>
  </si>
  <si>
    <t>Client 076</t>
  </si>
  <si>
    <t>C077</t>
  </si>
  <si>
    <t>Client 077</t>
  </si>
  <si>
    <t>C078</t>
  </si>
  <si>
    <t>Client 078</t>
  </si>
  <si>
    <t>C079</t>
  </si>
  <si>
    <t>Client 079</t>
  </si>
  <si>
    <t>C080</t>
  </si>
  <si>
    <t>Client 080</t>
  </si>
  <si>
    <t>Service_ID</t>
  </si>
  <si>
    <t>Service_Name</t>
  </si>
  <si>
    <t>Service_Category</t>
  </si>
  <si>
    <t>Base_Project_Value</t>
  </si>
  <si>
    <t>S01</t>
  </si>
  <si>
    <t>Data Analytics</t>
  </si>
  <si>
    <t>Analytics</t>
  </si>
  <si>
    <t>S02</t>
  </si>
  <si>
    <t>Business Intelligence</t>
  </si>
  <si>
    <t>S03</t>
  </si>
  <si>
    <t>Cloud Solutions</t>
  </si>
  <si>
    <t>Cloud</t>
  </si>
  <si>
    <t>S04</t>
  </si>
  <si>
    <t>Software Development</t>
  </si>
  <si>
    <t>Development</t>
  </si>
  <si>
    <t>S05</t>
  </si>
  <si>
    <t>Digital Marketing</t>
  </si>
  <si>
    <t>Digital</t>
  </si>
  <si>
    <t>S06</t>
  </si>
  <si>
    <t>Data Engineering</t>
  </si>
  <si>
    <t>Data</t>
  </si>
  <si>
    <t>S07</t>
  </si>
  <si>
    <t>AI &amp; Automation</t>
  </si>
  <si>
    <t>AI</t>
  </si>
  <si>
    <t>S08</t>
  </si>
  <si>
    <t>IT Consulting</t>
  </si>
  <si>
    <t>Consulting</t>
  </si>
  <si>
    <t>Project_ID</t>
  </si>
  <si>
    <t>Project_Name</t>
  </si>
  <si>
    <t>Start_Date</t>
  </si>
  <si>
    <t>Planned_Duration_Days</t>
  </si>
  <si>
    <t>Planned_End_Date</t>
  </si>
  <si>
    <t>Status</t>
  </si>
  <si>
    <t>Contract_Value</t>
  </si>
  <si>
    <t>Budget_Cost</t>
  </si>
  <si>
    <t>Actual_Cost</t>
  </si>
  <si>
    <t>Actual_Duration_Days</t>
  </si>
  <si>
    <t>Actual_End_Date</t>
  </si>
  <si>
    <t>On_Time_Flag</t>
  </si>
  <si>
    <t>P0001</t>
  </si>
  <si>
    <t>Project 0001</t>
  </si>
  <si>
    <t>Cancelled</t>
  </si>
  <si>
    <t>P0002</t>
  </si>
  <si>
    <t>Project 0002</t>
  </si>
  <si>
    <t>Active</t>
  </si>
  <si>
    <t>P0003</t>
  </si>
  <si>
    <t>Project 0003</t>
  </si>
  <si>
    <t>Completed</t>
  </si>
  <si>
    <t>P0004</t>
  </si>
  <si>
    <t>Project 0004</t>
  </si>
  <si>
    <t>P0005</t>
  </si>
  <si>
    <t>Project 0005</t>
  </si>
  <si>
    <t>P0006</t>
  </si>
  <si>
    <t>Project 0006</t>
  </si>
  <si>
    <t>P0007</t>
  </si>
  <si>
    <t>Project 0007</t>
  </si>
  <si>
    <t>P0008</t>
  </si>
  <si>
    <t>Project 0008</t>
  </si>
  <si>
    <t>P0009</t>
  </si>
  <si>
    <t>Project 0009</t>
  </si>
  <si>
    <t>P0010</t>
  </si>
  <si>
    <t>Project 0010</t>
  </si>
  <si>
    <t>P0011</t>
  </si>
  <si>
    <t>Project 0011</t>
  </si>
  <si>
    <t>P0012</t>
  </si>
  <si>
    <t>Project 0012</t>
  </si>
  <si>
    <t>P0013</t>
  </si>
  <si>
    <t>Project 0013</t>
  </si>
  <si>
    <t>P0014</t>
  </si>
  <si>
    <t>Project 0014</t>
  </si>
  <si>
    <t>P0015</t>
  </si>
  <si>
    <t>Project 0015</t>
  </si>
  <si>
    <t>P0016</t>
  </si>
  <si>
    <t>Project 0016</t>
  </si>
  <si>
    <t>P0017</t>
  </si>
  <si>
    <t>Project 0017</t>
  </si>
  <si>
    <t>P0018</t>
  </si>
  <si>
    <t>Project 0018</t>
  </si>
  <si>
    <t>P0019</t>
  </si>
  <si>
    <t>Project 0019</t>
  </si>
  <si>
    <t>P0020</t>
  </si>
  <si>
    <t>Project 0020</t>
  </si>
  <si>
    <t>P0021</t>
  </si>
  <si>
    <t>Project 0021</t>
  </si>
  <si>
    <t>P0022</t>
  </si>
  <si>
    <t>Project 0022</t>
  </si>
  <si>
    <t>P0023</t>
  </si>
  <si>
    <t>Project 0023</t>
  </si>
  <si>
    <t>P0024</t>
  </si>
  <si>
    <t>Project 0024</t>
  </si>
  <si>
    <t>P0025</t>
  </si>
  <si>
    <t>Project 0025</t>
  </si>
  <si>
    <t>P0026</t>
  </si>
  <si>
    <t>Project 0026</t>
  </si>
  <si>
    <t>P0027</t>
  </si>
  <si>
    <t>Project 0027</t>
  </si>
  <si>
    <t>On Hold</t>
  </si>
  <si>
    <t>P0028</t>
  </si>
  <si>
    <t>Project 0028</t>
  </si>
  <si>
    <t>P0029</t>
  </si>
  <si>
    <t>Project 0029</t>
  </si>
  <si>
    <t>P0030</t>
  </si>
  <si>
    <t>Project 0030</t>
  </si>
  <si>
    <t>P0031</t>
  </si>
  <si>
    <t>Project 0031</t>
  </si>
  <si>
    <t>P0032</t>
  </si>
  <si>
    <t>Project 0032</t>
  </si>
  <si>
    <t>P0033</t>
  </si>
  <si>
    <t>Project 0033</t>
  </si>
  <si>
    <t>P0034</t>
  </si>
  <si>
    <t>Project 0034</t>
  </si>
  <si>
    <t>P0035</t>
  </si>
  <si>
    <t>Project 0035</t>
  </si>
  <si>
    <t>P0036</t>
  </si>
  <si>
    <t>Project 0036</t>
  </si>
  <si>
    <t>P0037</t>
  </si>
  <si>
    <t>Project 0037</t>
  </si>
  <si>
    <t>P0038</t>
  </si>
  <si>
    <t>Project 0038</t>
  </si>
  <si>
    <t>P0039</t>
  </si>
  <si>
    <t>Project 0039</t>
  </si>
  <si>
    <t>P0040</t>
  </si>
  <si>
    <t>Project 0040</t>
  </si>
  <si>
    <t>P0041</t>
  </si>
  <si>
    <t>Project 0041</t>
  </si>
  <si>
    <t>P0042</t>
  </si>
  <si>
    <t>Project 0042</t>
  </si>
  <si>
    <t>P0043</t>
  </si>
  <si>
    <t>Project 0043</t>
  </si>
  <si>
    <t>P0044</t>
  </si>
  <si>
    <t>Project 0044</t>
  </si>
  <si>
    <t>P0045</t>
  </si>
  <si>
    <t>Project 0045</t>
  </si>
  <si>
    <t>P0046</t>
  </si>
  <si>
    <t>Project 0046</t>
  </si>
  <si>
    <t>P0047</t>
  </si>
  <si>
    <t>Project 0047</t>
  </si>
  <si>
    <t>P0048</t>
  </si>
  <si>
    <t>Project 0048</t>
  </si>
  <si>
    <t>P0049</t>
  </si>
  <si>
    <t>Project 0049</t>
  </si>
  <si>
    <t>P0050</t>
  </si>
  <si>
    <t>Project 0050</t>
  </si>
  <si>
    <t>P0051</t>
  </si>
  <si>
    <t>Project 0051</t>
  </si>
  <si>
    <t>P0052</t>
  </si>
  <si>
    <t>Project 0052</t>
  </si>
  <si>
    <t>P0053</t>
  </si>
  <si>
    <t>Project 0053</t>
  </si>
  <si>
    <t>P0054</t>
  </si>
  <si>
    <t>Project 0054</t>
  </si>
  <si>
    <t>P0055</t>
  </si>
  <si>
    <t>Project 0055</t>
  </si>
  <si>
    <t>P0056</t>
  </si>
  <si>
    <t>Project 0056</t>
  </si>
  <si>
    <t>P0057</t>
  </si>
  <si>
    <t>Project 0057</t>
  </si>
  <si>
    <t>P0058</t>
  </si>
  <si>
    <t>Project 0058</t>
  </si>
  <si>
    <t>P0059</t>
  </si>
  <si>
    <t>Project 0059</t>
  </si>
  <si>
    <t>P0060</t>
  </si>
  <si>
    <t>Project 0060</t>
  </si>
  <si>
    <t>P0061</t>
  </si>
  <si>
    <t>Project 0061</t>
  </si>
  <si>
    <t>P0062</t>
  </si>
  <si>
    <t>Project 0062</t>
  </si>
  <si>
    <t>P0063</t>
  </si>
  <si>
    <t>Project 0063</t>
  </si>
  <si>
    <t>P0064</t>
  </si>
  <si>
    <t>Project 0064</t>
  </si>
  <si>
    <t>P0065</t>
  </si>
  <si>
    <t>Project 0065</t>
  </si>
  <si>
    <t>P0066</t>
  </si>
  <si>
    <t>Project 0066</t>
  </si>
  <si>
    <t>P0067</t>
  </si>
  <si>
    <t>Project 0067</t>
  </si>
  <si>
    <t>P0068</t>
  </si>
  <si>
    <t>Project 0068</t>
  </si>
  <si>
    <t>P0069</t>
  </si>
  <si>
    <t>Project 0069</t>
  </si>
  <si>
    <t>P0070</t>
  </si>
  <si>
    <t>Project 0070</t>
  </si>
  <si>
    <t>P0071</t>
  </si>
  <si>
    <t>Project 0071</t>
  </si>
  <si>
    <t>P0072</t>
  </si>
  <si>
    <t>Project 0072</t>
  </si>
  <si>
    <t>P0073</t>
  </si>
  <si>
    <t>Project 0073</t>
  </si>
  <si>
    <t>P0074</t>
  </si>
  <si>
    <t>Project 0074</t>
  </si>
  <si>
    <t>P0075</t>
  </si>
  <si>
    <t>Project 0075</t>
  </si>
  <si>
    <t>P0076</t>
  </si>
  <si>
    <t>Project 0076</t>
  </si>
  <si>
    <t>P0077</t>
  </si>
  <si>
    <t>Project 0077</t>
  </si>
  <si>
    <t>P0078</t>
  </si>
  <si>
    <t>Project 0078</t>
  </si>
  <si>
    <t>P0079</t>
  </si>
  <si>
    <t>Project 0079</t>
  </si>
  <si>
    <t>P0080</t>
  </si>
  <si>
    <t>Project 0080</t>
  </si>
  <si>
    <t>P0081</t>
  </si>
  <si>
    <t>Project 0081</t>
  </si>
  <si>
    <t>P0082</t>
  </si>
  <si>
    <t>Project 0082</t>
  </si>
  <si>
    <t>P0083</t>
  </si>
  <si>
    <t>Project 0083</t>
  </si>
  <si>
    <t>P0084</t>
  </si>
  <si>
    <t>Project 0084</t>
  </si>
  <si>
    <t>P0085</t>
  </si>
  <si>
    <t>Project 0085</t>
  </si>
  <si>
    <t>P0086</t>
  </si>
  <si>
    <t>Project 0086</t>
  </si>
  <si>
    <t>P0087</t>
  </si>
  <si>
    <t>Project 0087</t>
  </si>
  <si>
    <t>P0088</t>
  </si>
  <si>
    <t>Project 0088</t>
  </si>
  <si>
    <t>P0089</t>
  </si>
  <si>
    <t>Project 0089</t>
  </si>
  <si>
    <t>P0090</t>
  </si>
  <si>
    <t>Project 0090</t>
  </si>
  <si>
    <t>P0091</t>
  </si>
  <si>
    <t>Project 0091</t>
  </si>
  <si>
    <t>P0092</t>
  </si>
  <si>
    <t>Project 0092</t>
  </si>
  <si>
    <t>P0093</t>
  </si>
  <si>
    <t>Project 0093</t>
  </si>
  <si>
    <t>P0094</t>
  </si>
  <si>
    <t>Project 0094</t>
  </si>
  <si>
    <t>P0095</t>
  </si>
  <si>
    <t>Project 0095</t>
  </si>
  <si>
    <t>P0096</t>
  </si>
  <si>
    <t>Project 0096</t>
  </si>
  <si>
    <t>P0097</t>
  </si>
  <si>
    <t>Project 0097</t>
  </si>
  <si>
    <t>P0098</t>
  </si>
  <si>
    <t>Project 0098</t>
  </si>
  <si>
    <t>P0099</t>
  </si>
  <si>
    <t>Project 0099</t>
  </si>
  <si>
    <t>P0100</t>
  </si>
  <si>
    <t>Project 0100</t>
  </si>
  <si>
    <t>P0101</t>
  </si>
  <si>
    <t>Project 0101</t>
  </si>
  <si>
    <t>P0102</t>
  </si>
  <si>
    <t>Project 0102</t>
  </si>
  <si>
    <t>P0103</t>
  </si>
  <si>
    <t>Project 0103</t>
  </si>
  <si>
    <t>P0104</t>
  </si>
  <si>
    <t>Project 0104</t>
  </si>
  <si>
    <t>P0105</t>
  </si>
  <si>
    <t>Project 0105</t>
  </si>
  <si>
    <t>P0106</t>
  </si>
  <si>
    <t>Project 0106</t>
  </si>
  <si>
    <t>P0107</t>
  </si>
  <si>
    <t>Project 0107</t>
  </si>
  <si>
    <t>P0108</t>
  </si>
  <si>
    <t>Project 0108</t>
  </si>
  <si>
    <t>P0109</t>
  </si>
  <si>
    <t>Project 0109</t>
  </si>
  <si>
    <t>P0110</t>
  </si>
  <si>
    <t>Project 0110</t>
  </si>
  <si>
    <t>P0111</t>
  </si>
  <si>
    <t>Project 0111</t>
  </si>
  <si>
    <t>P0112</t>
  </si>
  <si>
    <t>Project 0112</t>
  </si>
  <si>
    <t>P0113</t>
  </si>
  <si>
    <t>Project 0113</t>
  </si>
  <si>
    <t>P0114</t>
  </si>
  <si>
    <t>Project 0114</t>
  </si>
  <si>
    <t>P0115</t>
  </si>
  <si>
    <t>Project 0115</t>
  </si>
  <si>
    <t>P0116</t>
  </si>
  <si>
    <t>Project 0116</t>
  </si>
  <si>
    <t>P0117</t>
  </si>
  <si>
    <t>Project 0117</t>
  </si>
  <si>
    <t>P0118</t>
  </si>
  <si>
    <t>Project 0118</t>
  </si>
  <si>
    <t>P0119</t>
  </si>
  <si>
    <t>Project 0119</t>
  </si>
  <si>
    <t>P0120</t>
  </si>
  <si>
    <t>Project 0120</t>
  </si>
  <si>
    <t>P0121</t>
  </si>
  <si>
    <t>Project 0121</t>
  </si>
  <si>
    <t>P0122</t>
  </si>
  <si>
    <t>Project 0122</t>
  </si>
  <si>
    <t>P0123</t>
  </si>
  <si>
    <t>Project 0123</t>
  </si>
  <si>
    <t>P0124</t>
  </si>
  <si>
    <t>Project 0124</t>
  </si>
  <si>
    <t>P0125</t>
  </si>
  <si>
    <t>Project 0125</t>
  </si>
  <si>
    <t>P0126</t>
  </si>
  <si>
    <t>Project 0126</t>
  </si>
  <si>
    <t>P0127</t>
  </si>
  <si>
    <t>Project 0127</t>
  </si>
  <si>
    <t>P0128</t>
  </si>
  <si>
    <t>Project 0128</t>
  </si>
  <si>
    <t>P0129</t>
  </si>
  <si>
    <t>Project 0129</t>
  </si>
  <si>
    <t>P0130</t>
  </si>
  <si>
    <t>Project 0130</t>
  </si>
  <si>
    <t>P0131</t>
  </si>
  <si>
    <t>Project 0131</t>
  </si>
  <si>
    <t>P0132</t>
  </si>
  <si>
    <t>Project 0132</t>
  </si>
  <si>
    <t>P0133</t>
  </si>
  <si>
    <t>Project 0133</t>
  </si>
  <si>
    <t>P0134</t>
  </si>
  <si>
    <t>Project 0134</t>
  </si>
  <si>
    <t>P0135</t>
  </si>
  <si>
    <t>Project 0135</t>
  </si>
  <si>
    <t>P0136</t>
  </si>
  <si>
    <t>Project 0136</t>
  </si>
  <si>
    <t>P0137</t>
  </si>
  <si>
    <t>Project 0137</t>
  </si>
  <si>
    <t>P0138</t>
  </si>
  <si>
    <t>Project 0138</t>
  </si>
  <si>
    <t>P0139</t>
  </si>
  <si>
    <t>Project 0139</t>
  </si>
  <si>
    <t>P0140</t>
  </si>
  <si>
    <t>Project 0140</t>
  </si>
  <si>
    <t>P0141</t>
  </si>
  <si>
    <t>Project 0141</t>
  </si>
  <si>
    <t>P0142</t>
  </si>
  <si>
    <t>Project 0142</t>
  </si>
  <si>
    <t>P0143</t>
  </si>
  <si>
    <t>Project 0143</t>
  </si>
  <si>
    <t>P0144</t>
  </si>
  <si>
    <t>Project 0144</t>
  </si>
  <si>
    <t>P0145</t>
  </si>
  <si>
    <t>Project 0145</t>
  </si>
  <si>
    <t>P0146</t>
  </si>
  <si>
    <t>Project 0146</t>
  </si>
  <si>
    <t>P0147</t>
  </si>
  <si>
    <t>Project 0147</t>
  </si>
  <si>
    <t>P0148</t>
  </si>
  <si>
    <t>Project 0148</t>
  </si>
  <si>
    <t>P0149</t>
  </si>
  <si>
    <t>Project 0149</t>
  </si>
  <si>
    <t>P0150</t>
  </si>
  <si>
    <t>Project 0150</t>
  </si>
  <si>
    <t>P0151</t>
  </si>
  <si>
    <t>Project 0151</t>
  </si>
  <si>
    <t>P0152</t>
  </si>
  <si>
    <t>Project 0152</t>
  </si>
  <si>
    <t>P0153</t>
  </si>
  <si>
    <t>Project 0153</t>
  </si>
  <si>
    <t>P0154</t>
  </si>
  <si>
    <t>Project 0154</t>
  </si>
  <si>
    <t>P0155</t>
  </si>
  <si>
    <t>Project 0155</t>
  </si>
  <si>
    <t>P0156</t>
  </si>
  <si>
    <t>Project 0156</t>
  </si>
  <si>
    <t>P0157</t>
  </si>
  <si>
    <t>Project 0157</t>
  </si>
  <si>
    <t>P0158</t>
  </si>
  <si>
    <t>Project 0158</t>
  </si>
  <si>
    <t>P0159</t>
  </si>
  <si>
    <t>Project 0159</t>
  </si>
  <si>
    <t>P0160</t>
  </si>
  <si>
    <t>Project 0160</t>
  </si>
  <si>
    <t>P0161</t>
  </si>
  <si>
    <t>Project 0161</t>
  </si>
  <si>
    <t>P0162</t>
  </si>
  <si>
    <t>Project 0162</t>
  </si>
  <si>
    <t>P0163</t>
  </si>
  <si>
    <t>Project 0163</t>
  </si>
  <si>
    <t>P0164</t>
  </si>
  <si>
    <t>Project 0164</t>
  </si>
  <si>
    <t>P0165</t>
  </si>
  <si>
    <t>Project 0165</t>
  </si>
  <si>
    <t>P0166</t>
  </si>
  <si>
    <t>Project 0166</t>
  </si>
  <si>
    <t>P0167</t>
  </si>
  <si>
    <t>Project 0167</t>
  </si>
  <si>
    <t>P0168</t>
  </si>
  <si>
    <t>Project 0168</t>
  </si>
  <si>
    <t>P0169</t>
  </si>
  <si>
    <t>Project 0169</t>
  </si>
  <si>
    <t>P0170</t>
  </si>
  <si>
    <t>Project 0170</t>
  </si>
  <si>
    <t>P0171</t>
  </si>
  <si>
    <t>Project 0171</t>
  </si>
  <si>
    <t>P0172</t>
  </si>
  <si>
    <t>Project 0172</t>
  </si>
  <si>
    <t>P0173</t>
  </si>
  <si>
    <t>Project 0173</t>
  </si>
  <si>
    <t>P0174</t>
  </si>
  <si>
    <t>Project 0174</t>
  </si>
  <si>
    <t>P0175</t>
  </si>
  <si>
    <t>Project 0175</t>
  </si>
  <si>
    <t>P0176</t>
  </si>
  <si>
    <t>Project 0176</t>
  </si>
  <si>
    <t>P0177</t>
  </si>
  <si>
    <t>Project 0177</t>
  </si>
  <si>
    <t>P0178</t>
  </si>
  <si>
    <t>Project 0178</t>
  </si>
  <si>
    <t>P0179</t>
  </si>
  <si>
    <t>Project 0179</t>
  </si>
  <si>
    <t>P0180</t>
  </si>
  <si>
    <t>Project 0180</t>
  </si>
  <si>
    <t>P0181</t>
  </si>
  <si>
    <t>Project 0181</t>
  </si>
  <si>
    <t>P0182</t>
  </si>
  <si>
    <t>Project 0182</t>
  </si>
  <si>
    <t>P0183</t>
  </si>
  <si>
    <t>Project 0183</t>
  </si>
  <si>
    <t>P0184</t>
  </si>
  <si>
    <t>Project 0184</t>
  </si>
  <si>
    <t>P0185</t>
  </si>
  <si>
    <t>Project 0185</t>
  </si>
  <si>
    <t>P0186</t>
  </si>
  <si>
    <t>Project 0186</t>
  </si>
  <si>
    <t>P0187</t>
  </si>
  <si>
    <t>Project 0187</t>
  </si>
  <si>
    <t>P0188</t>
  </si>
  <si>
    <t>Project 0188</t>
  </si>
  <si>
    <t>P0189</t>
  </si>
  <si>
    <t>Project 0189</t>
  </si>
  <si>
    <t>P0190</t>
  </si>
  <si>
    <t>Project 0190</t>
  </si>
  <si>
    <t>P0191</t>
  </si>
  <si>
    <t>Project 0191</t>
  </si>
  <si>
    <t>P0192</t>
  </si>
  <si>
    <t>Project 0192</t>
  </si>
  <si>
    <t>P0193</t>
  </si>
  <si>
    <t>Project 0193</t>
  </si>
  <si>
    <t>P0194</t>
  </si>
  <si>
    <t>Project 0194</t>
  </si>
  <si>
    <t>P0195</t>
  </si>
  <si>
    <t>Project 0195</t>
  </si>
  <si>
    <t>P0196</t>
  </si>
  <si>
    <t>Project 0196</t>
  </si>
  <si>
    <t>P0197</t>
  </si>
  <si>
    <t>Project 0197</t>
  </si>
  <si>
    <t>P0198</t>
  </si>
  <si>
    <t>Project 0198</t>
  </si>
  <si>
    <t>P0199</t>
  </si>
  <si>
    <t>Project 0199</t>
  </si>
  <si>
    <t>P0200</t>
  </si>
  <si>
    <t>Project 0200</t>
  </si>
  <si>
    <t>P0201</t>
  </si>
  <si>
    <t>Project 0201</t>
  </si>
  <si>
    <t>P0202</t>
  </si>
  <si>
    <t>Project 0202</t>
  </si>
  <si>
    <t>P0203</t>
  </si>
  <si>
    <t>Project 0203</t>
  </si>
  <si>
    <t>P0204</t>
  </si>
  <si>
    <t>Project 0204</t>
  </si>
  <si>
    <t>P0205</t>
  </si>
  <si>
    <t>Project 0205</t>
  </si>
  <si>
    <t>P0206</t>
  </si>
  <si>
    <t>Project 0206</t>
  </si>
  <si>
    <t>P0207</t>
  </si>
  <si>
    <t>Project 0207</t>
  </si>
  <si>
    <t>P0208</t>
  </si>
  <si>
    <t>Project 0208</t>
  </si>
  <si>
    <t>P0209</t>
  </si>
  <si>
    <t>Project 0209</t>
  </si>
  <si>
    <t>P0210</t>
  </si>
  <si>
    <t>Project 0210</t>
  </si>
  <si>
    <t>P0211</t>
  </si>
  <si>
    <t>Project 0211</t>
  </si>
  <si>
    <t>P0212</t>
  </si>
  <si>
    <t>Project 0212</t>
  </si>
  <si>
    <t>P0213</t>
  </si>
  <si>
    <t>Project 0213</t>
  </si>
  <si>
    <t>P0214</t>
  </si>
  <si>
    <t>Project 0214</t>
  </si>
  <si>
    <t>P0215</t>
  </si>
  <si>
    <t>Project 0215</t>
  </si>
  <si>
    <t>P0216</t>
  </si>
  <si>
    <t>Project 0216</t>
  </si>
  <si>
    <t>P0217</t>
  </si>
  <si>
    <t>Project 0217</t>
  </si>
  <si>
    <t>P0218</t>
  </si>
  <si>
    <t>Project 0218</t>
  </si>
  <si>
    <t>P0219</t>
  </si>
  <si>
    <t>Project 0219</t>
  </si>
  <si>
    <t>P0220</t>
  </si>
  <si>
    <t>Project 0220</t>
  </si>
  <si>
    <t>Employee_ID</t>
  </si>
  <si>
    <t>Employee_Name</t>
  </si>
  <si>
    <t>Department</t>
  </si>
  <si>
    <t>Job_Level</t>
  </si>
  <si>
    <t>Joining_Date</t>
  </si>
  <si>
    <t>E001</t>
  </si>
  <si>
    <t>Employee 001</t>
  </si>
  <si>
    <t>Data &amp; BI</t>
  </si>
  <si>
    <t>Senior</t>
  </si>
  <si>
    <t>E002</t>
  </si>
  <si>
    <t>Employee 002</t>
  </si>
  <si>
    <t>Cloud &amp; DevOps</t>
  </si>
  <si>
    <t>Junior</t>
  </si>
  <si>
    <t>E003</t>
  </si>
  <si>
    <t>Employee 003</t>
  </si>
  <si>
    <t>Lead</t>
  </si>
  <si>
    <t>E004</t>
  </si>
  <si>
    <t>Employee 004</t>
  </si>
  <si>
    <t>Mid-Level</t>
  </si>
  <si>
    <t>E005</t>
  </si>
  <si>
    <t>Employee 005</t>
  </si>
  <si>
    <t>E006</t>
  </si>
  <si>
    <t>Employee 006</t>
  </si>
  <si>
    <t>E007</t>
  </si>
  <si>
    <t>Employee 007</t>
  </si>
  <si>
    <t>E008</t>
  </si>
  <si>
    <t>Employee 008</t>
  </si>
  <si>
    <t>E009</t>
  </si>
  <si>
    <t>Employee 009</t>
  </si>
  <si>
    <t>E010</t>
  </si>
  <si>
    <t>Employee 010</t>
  </si>
  <si>
    <t>E011</t>
  </si>
  <si>
    <t>Employee 011</t>
  </si>
  <si>
    <t>E012</t>
  </si>
  <si>
    <t>Employee 012</t>
  </si>
  <si>
    <t>E013</t>
  </si>
  <si>
    <t>Employee 013</t>
  </si>
  <si>
    <t>E014</t>
  </si>
  <si>
    <t>Employee 014</t>
  </si>
  <si>
    <t>Software Engineering</t>
  </si>
  <si>
    <t>E015</t>
  </si>
  <si>
    <t>Employee 015</t>
  </si>
  <si>
    <t>E016</t>
  </si>
  <si>
    <t>Employee 016</t>
  </si>
  <si>
    <t>E017</t>
  </si>
  <si>
    <t>Employee 017</t>
  </si>
  <si>
    <t>E018</t>
  </si>
  <si>
    <t>Employee 018</t>
  </si>
  <si>
    <t>E019</t>
  </si>
  <si>
    <t>Employee 019</t>
  </si>
  <si>
    <t>E020</t>
  </si>
  <si>
    <t>Employee 020</t>
  </si>
  <si>
    <t>E021</t>
  </si>
  <si>
    <t>Employee 021</t>
  </si>
  <si>
    <t>E022</t>
  </si>
  <si>
    <t>Employee 022</t>
  </si>
  <si>
    <t>E023</t>
  </si>
  <si>
    <t>Employee 023</t>
  </si>
  <si>
    <t>E024</t>
  </si>
  <si>
    <t>Employee 024</t>
  </si>
  <si>
    <t>E025</t>
  </si>
  <si>
    <t>Employee 025</t>
  </si>
  <si>
    <t>E026</t>
  </si>
  <si>
    <t>Employee 026</t>
  </si>
  <si>
    <t>E027</t>
  </si>
  <si>
    <t>Employee 027</t>
  </si>
  <si>
    <t>E028</t>
  </si>
  <si>
    <t>Employee 028</t>
  </si>
  <si>
    <t>E029</t>
  </si>
  <si>
    <t>Employee 029</t>
  </si>
  <si>
    <t>E030</t>
  </si>
  <si>
    <t>Employee 030</t>
  </si>
  <si>
    <t>E031</t>
  </si>
  <si>
    <t>Employee 031</t>
  </si>
  <si>
    <t>E032</t>
  </si>
  <si>
    <t>Employee 032</t>
  </si>
  <si>
    <t>E033</t>
  </si>
  <si>
    <t>Employee 033</t>
  </si>
  <si>
    <t>E034</t>
  </si>
  <si>
    <t>Employee 034</t>
  </si>
  <si>
    <t>E035</t>
  </si>
  <si>
    <t>Employee 035</t>
  </si>
  <si>
    <t>E036</t>
  </si>
  <si>
    <t>Employee 036</t>
  </si>
  <si>
    <t>E037</t>
  </si>
  <si>
    <t>Employee 037</t>
  </si>
  <si>
    <t>E038</t>
  </si>
  <si>
    <t>Employee 038</t>
  </si>
  <si>
    <t>E039</t>
  </si>
  <si>
    <t>Employee 039</t>
  </si>
  <si>
    <t>E040</t>
  </si>
  <si>
    <t>Employee 040</t>
  </si>
  <si>
    <t>E041</t>
  </si>
  <si>
    <t>Employee 041</t>
  </si>
  <si>
    <t>E042</t>
  </si>
  <si>
    <t>Employee 042</t>
  </si>
  <si>
    <t>E043</t>
  </si>
  <si>
    <t>Employee 043</t>
  </si>
  <si>
    <t>E044</t>
  </si>
  <si>
    <t>Employee 044</t>
  </si>
  <si>
    <t>E045</t>
  </si>
  <si>
    <t>Employee 045</t>
  </si>
  <si>
    <t>Assignment_ID</t>
  </si>
  <si>
    <t>Allocation_Percent</t>
  </si>
  <si>
    <t>Billable_Hours</t>
  </si>
  <si>
    <t>Worked_Hours</t>
  </si>
  <si>
    <t>A00001</t>
  </si>
  <si>
    <t>A00002</t>
  </si>
  <si>
    <t>A00003</t>
  </si>
  <si>
    <t>A00004</t>
  </si>
  <si>
    <t>A00005</t>
  </si>
  <si>
    <t>A00006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</si>
  <si>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</si>
  <si>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</si>
  <si>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</si>
  <si>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</si>
  <si>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</si>
  <si>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</si>
  <si>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</si>
  <si>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</si>
  <si>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</si>
  <si>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</si>
  <si>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</si>
  <si>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</si>
  <si>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</si>
  <si>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</si>
  <si>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</si>
  <si>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</si>
  <si>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</si>
  <si>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</si>
  <si>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</si>
  <si>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</si>
  <si>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</si>
  <si>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</si>
  <si>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</si>
  <si>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</si>
  <si>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</si>
  <si>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</si>
  <si>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</si>
  <si>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</si>
  <si>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</si>
  <si>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</si>
  <si>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</si>
  <si>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</si>
  <si>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</si>
  <si>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</si>
  <si>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</si>
  <si>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</si>
  <si>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</si>
  <si>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</si>
  <si>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</si>
  <si>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</si>
  <si>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</si>
  <si>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</si>
  <si>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</si>
  <si>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</si>
  <si>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</si>
  <si>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</si>
  <si>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</si>
  <si>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</si>
  <si>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</si>
  <si>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</si>
  <si>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</si>
  <si>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</si>
  <si>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</si>
  <si>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</si>
  <si>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</si>
  <si>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</si>
  <si>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</si>
  <si>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</si>
  <si>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</si>
  <si>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</si>
  <si>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</si>
  <si>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</si>
  <si>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</si>
  <si>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</si>
  <si>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</si>
  <si>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</si>
  <si>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</si>
  <si>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</si>
  <si>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</si>
  <si>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</si>
  <si>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</si>
  <si>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</si>
  <si>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</si>
  <si>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</si>
  <si>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</si>
  <si>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</si>
  <si>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</si>
  <si>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</si>
  <si>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</si>
  <si>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</si>
  <si>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</si>
  <si>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</si>
  <si>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</si>
  <si>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</si>
  <si>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</si>
  <si>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</si>
  <si>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</si>
  <si>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</si>
  <si>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</si>
  <si>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</si>
  <si>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</si>
  <si>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</si>
  <si>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</si>
  <si>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</si>
  <si>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</si>
  <si>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</si>
  <si>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</si>
  <si>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</si>
  <si>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</si>
  <si>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</si>
  <si>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</si>
  <si>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</si>
  <si>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</si>
  <si>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</si>
  <si>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</si>
  <si>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</si>
  <si>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</si>
  <si>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</si>
  <si>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</si>
  <si>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</si>
  <si>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</si>
  <si>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</si>
  <si>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</si>
  <si>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</si>
  <si>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</si>
  <si>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</si>
  <si>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</si>
  <si>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</si>
  <si>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</si>
  <si>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</si>
  <si>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</si>
  <si>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</si>
  <si>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</si>
  <si>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</si>
  <si>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</si>
  <si>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</si>
  <si>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</si>
  <si>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</si>
  <si>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</si>
  <si>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</si>
  <si>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</si>
  <si>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</si>
  <si>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</si>
  <si>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</si>
  <si>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</si>
  <si>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</si>
  <si>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</si>
  <si>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</si>
  <si>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</si>
  <si>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</si>
  <si>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</si>
  <si>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</si>
  <si>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</si>
  <si>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</si>
  <si>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</si>
  <si>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</si>
  <si>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</si>
  <si>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</si>
  <si>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</si>
  <si>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</si>
  <si>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</si>
  <si>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</si>
  <si>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</si>
  <si>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</si>
  <si>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</si>
  <si>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</si>
  <si>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</si>
  <si>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</si>
  <si>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</si>
  <si>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</si>
  <si>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</si>
  <si>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</si>
  <si>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</si>
  <si>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</si>
  <si>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</si>
  <si>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</si>
  <si>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</si>
  <si>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</si>
  <si>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</si>
  <si>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</si>
  <si>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</si>
  <si>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</si>
  <si>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</si>
  <si>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</si>
  <si>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</si>
  <si>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</si>
  <si>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</si>
  <si>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</si>
  <si>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</si>
  <si>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</si>
  <si>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</si>
  <si>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</si>
  <si>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</si>
  <si>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</si>
  <si>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</si>
  <si>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</si>
  <si>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</si>
  <si>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</si>
  <si>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</si>
  <si>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</si>
  <si>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</si>
  <si>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</si>
  <si>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</si>
  <si>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</si>
  <si>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</si>
  <si>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</si>
  <si>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</si>
  <si>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</si>
  <si>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</si>
  <si>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</si>
  <si>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</si>
  <si>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</si>
  <si>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</si>
  <si>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</si>
  <si>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</si>
  <si>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</si>
  <si>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</si>
  <si>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</si>
  <si>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</si>
  <si>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</si>
  <si>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</si>
  <si>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</si>
  <si>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</si>
  <si>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</si>
  <si>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</si>
  <si>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</si>
  <si>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</si>
  <si>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</si>
  <si>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</si>
  <si>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</si>
  <si>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</si>
  <si>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</si>
  <si>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</si>
  <si>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</si>
  <si>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</si>
  <si>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</si>
  <si>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</si>
  <si>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</si>
  <si>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</si>
  <si>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</si>
  <si>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</si>
  <si>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</si>
  <si>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</si>
  <si>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</si>
  <si>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</si>
  <si>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</si>
  <si>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</si>
  <si>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</si>
  <si>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</si>
  <si>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</si>
  <si>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</si>
  <si>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</si>
  <si>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</si>
  <si>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</si>
  <si>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</si>
  <si>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</si>
  <si>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</si>
  <si>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</si>
  <si>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</si>
  <si>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</si>
  <si>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</si>
  <si>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</si>
  <si>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</si>
  <si>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</si>
  <si>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</si>
  <si>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</si>
  <si>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</si>
  <si>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</si>
  <si>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</si>
  <si>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</si>
  <si>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</si>
  <si>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</si>
  <si>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</si>
  <si>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</si>
  <si>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</si>
  <si>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</si>
  <si>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</si>
  <si>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</si>
  <si>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</si>
  <si>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</si>
  <si>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</si>
  <si>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</si>
  <si>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</si>
  <si>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</si>
  <si>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</si>
  <si>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</si>
  <si>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</si>
  <si>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</si>
  <si>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</si>
  <si>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</si>
  <si>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</si>
  <si>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</si>
  <si>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</si>
  <si>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</si>
  <si>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</si>
  <si>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</si>
  <si>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</si>
  <si>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</si>
  <si>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</si>
  <si>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</si>
  <si>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</si>
  <si>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</si>
  <si>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</si>
  <si>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</si>
  <si>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</si>
  <si>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</si>
  <si>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</si>
  <si>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</si>
  <si>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</si>
  <si>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</si>
  <si>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</si>
  <si>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</si>
  <si>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</si>
  <si>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</si>
  <si>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</si>
  <si>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</si>
  <si>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</si>
  <si>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</si>
  <si>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</si>
  <si>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</si>
  <si>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</si>
  <si>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</si>
  <si>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</si>
  <si>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</si>
  <si>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</si>
  <si>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</si>
  <si>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</si>
  <si>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</si>
  <si>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</si>
  <si>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</si>
  <si>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</si>
  <si>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</si>
  <si>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</si>
  <si>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</si>
  <si>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</si>
  <si>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</si>
  <si>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</si>
  <si>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</si>
  <si>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</si>
  <si>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</si>
  <si>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</si>
  <si>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</si>
  <si>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</si>
  <si>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</si>
  <si>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</si>
  <si>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</si>
  <si>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</si>
  <si>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</si>
  <si>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</si>
  <si>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</si>
  <si>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</si>
  <si>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</si>
  <si>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</si>
  <si>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</si>
  <si>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</si>
  <si>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</si>
  <si>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</si>
  <si>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</si>
  <si>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</si>
  <si>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</si>
  <si>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</si>
  <si>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</si>
  <si>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</si>
  <si>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</si>
  <si>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</si>
  <si>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</si>
  <si>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</si>
  <si>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</si>
  <si>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</si>
  <si>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</si>
  <si>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</si>
  <si>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</si>
  <si>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</si>
  <si>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</si>
  <si>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</si>
  <si>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</si>
  <si>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</si>
  <si>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</si>
  <si>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</si>
  <si>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</si>
  <si>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</si>
  <si>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</si>
  <si>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</si>
  <si>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</si>
  <si>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</si>
  <si>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</si>
  <si>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</si>
  <si>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</si>
  <si>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</si>
  <si>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</si>
  <si>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</si>
  <si>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</si>
  <si>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</si>
  <si>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</si>
  <si>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</si>
  <si>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</si>
  <si>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</si>
  <si>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</si>
  <si>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</si>
  <si>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</si>
  <si>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</si>
  <si>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</si>
  <si>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</si>
  <si>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</si>
  <si>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</si>
  <si>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</si>
  <si>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</si>
  <si>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</si>
  <si>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</si>
  <si>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</si>
  <si>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</si>
  <si>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</si>
  <si>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</si>
  <si>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</si>
  <si>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</si>
  <si>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</si>
  <si>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</si>
  <si>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</si>
  <si>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</si>
  <si>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</si>
  <si>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</si>
  <si>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</si>
  <si>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</si>
  <si>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</si>
  <si>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</si>
  <si>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</si>
  <si>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</si>
  <si>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</si>
  <si>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</si>
  <si>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</si>
  <si>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</si>
  <si>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</si>
  <si>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</si>
  <si>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</si>
  <si>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</si>
  <si>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</si>
  <si>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</si>
  <si>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</si>
  <si>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</si>
  <si>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</si>
  <si>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</si>
  <si>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</si>
  <si>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</si>
  <si>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</si>
  <si>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</si>
  <si>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</si>
  <si>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</si>
  <si>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</si>
  <si>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</si>
  <si>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</si>
  <si>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</si>
  <si>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</si>
  <si>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</si>
  <si>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</si>
  <si>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</si>
  <si>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</si>
  <si>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</si>
  <si>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</si>
  <si>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</si>
  <si>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</si>
  <si>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</si>
  <si>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</si>
  <si>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</si>
  <si>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</si>
  <si>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</si>
  <si>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</si>
  <si>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</si>
  <si>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</si>
  <si>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</si>
  <si>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</si>
  <si>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</si>
  <si>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</si>
  <si>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</si>
  <si>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</si>
  <si>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</si>
  <si>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</si>
  <si>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</si>
  <si>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</si>
  <si>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</si>
  <si>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</si>
  <si>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</si>
  <si>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</si>
  <si>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</si>
  <si>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</si>
  <si>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</si>
  <si>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</si>
  <si>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</si>
  <si>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</si>
  <si>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</si>
  <si>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</si>
  <si>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</si>
  <si>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</si>
  <si>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</si>
  <si>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</si>
  <si>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</si>
  <si>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</si>
  <si>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</si>
  <si>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</si>
  <si>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</si>
  <si>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</si>
  <si>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</si>
  <si>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</si>
  <si>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</si>
  <si>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</si>
  <si>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</si>
  <si>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</si>
  <si>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</si>
  <si>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</si>
  <si>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</si>
  <si>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</si>
  <si>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</si>
  <si>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</si>
  <si>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</si>
  <si>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</si>
  <si>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</si>
  <si>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</si>
  <si>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</si>
  <si>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</si>
  <si>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</si>
  <si>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</si>
  <si>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</si>
  <si>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</si>
  <si>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</si>
  <si>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</si>
  <si>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</si>
  <si>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</si>
  <si>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</si>
  <si>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</si>
  <si>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</si>
  <si>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</si>
  <si>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</si>
  <si>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</si>
  <si>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</si>
  <si>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</si>
  <si>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</si>
  <si>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</si>
  <si>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</si>
  <si>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</si>
  <si>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</si>
  <si>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</si>
  <si>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</si>
  <si>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</si>
  <si>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</si>
  <si>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</si>
  <si>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</si>
  <si>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</si>
  <si>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</si>
  <si>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</si>
  <si>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</si>
  <si>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</si>
  <si>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</si>
  <si>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</si>
  <si>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</si>
  <si>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</si>
  <si>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</si>
  <si>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</si>
  <si>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</si>
  <si>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</si>
  <si>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</si>
  <si>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</si>
  <si>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</si>
  <si>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</si>
  <si>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</si>
  <si>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</si>
  <si>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</si>
  <si>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</si>
  <si>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</si>
  <si>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</si>
  <si>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</si>
  <si>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</si>
  <si>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</si>
  <si>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</si>
  <si>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</si>
  <si>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</si>
  <si>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</si>
  <si>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</si>
  <si>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</si>
  <si>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</si>
  <si>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</si>
  <si>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</si>
  <si>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</si>
  <si>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</si>
  <si>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</si>
  <si>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</si>
  <si>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</si>
  <si>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</si>
  <si>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</si>
  <si>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</si>
  <si>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</si>
  <si>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</si>
  <si>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</si>
  <si>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</si>
  <si>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</si>
  <si>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</si>
  <si>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</si>
  <si>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</si>
  <si>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</si>
  <si>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</si>
  <si>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</si>
  <si>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</si>
  <si>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</si>
  <si>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</si>
  <si>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</si>
  <si>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</si>
  <si>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</si>
  <si>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</si>
  <si>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</si>
  <si>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</si>
  <si>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</si>
  <si>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</si>
  <si>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</si>
  <si>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</si>
  <si>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</si>
  <si>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</si>
  <si>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</si>
  <si>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</si>
  <si>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</si>
  <si>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</si>
  <si>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</si>
  <si>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</si>
  <si>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</si>
  <si>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</si>
  <si>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</si>
  <si>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</si>
  <si>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</si>
  <si>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</si>
  <si>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</si>
  <si>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</si>
  <si>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</si>
  <si>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</si>
  <si>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</si>
  <si>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</si>
  <si>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</si>
  <si>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</si>
  <si>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</si>
  <si>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</si>
  <si>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</si>
  <si>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</si>
  <si>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</si>
  <si>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</si>
  <si>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</si>
  <si>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</si>
  <si>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</si>
  <si>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</si>
  <si>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</si>
  <si>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</si>
  <si>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</si>
  <si>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</si>
  <si>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</si>
  <si>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</si>
  <si>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</si>
  <si>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</si>
  <si>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</si>
  <si>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</si>
  <si>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</si>
  <si>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</si>
  <si>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</si>
  <si>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</si>
  <si>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</si>
  <si>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</si>
  <si>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</si>
  <si>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</si>
  <si>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</si>
  <si>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</si>
  <si>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</si>
  <si>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</si>
  <si>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</si>
  <si>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</si>
  <si>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</si>
  <si>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</si>
  <si>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</si>
  <si>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</si>
  <si>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</si>
  <si>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</si>
  <si>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</si>
  <si>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</si>
  <si>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</si>
  <si>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</si>
  <si>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</si>
  <si>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</si>
  <si>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</si>
  <si>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</si>
  <si>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</si>
  <si>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</si>
  <si>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</si>
  <si>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</si>
  <si>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</si>
  <si>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</si>
  <si>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</si>
  <si>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</si>
  <si>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</si>
  <si>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</si>
  <si>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</si>
  <si>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</si>
  <si>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</si>
  <si>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</si>
  <si>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</si>
  <si>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</si>
  <si>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</si>
  <si>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</si>
  <si>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</si>
  <si>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</si>
  <si>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</si>
  <si>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</si>
  <si>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</si>
  <si>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</si>
  <si>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</si>
  <si>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</si>
  <si>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</si>
  <si>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</si>
  <si>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</si>
  <si>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</si>
  <si>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</si>
  <si>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Invoice_ID</t>
  </si>
  <si>
    <t>Invoice_Date</t>
  </si>
  <si>
    <t>Invoice_Amount</t>
  </si>
  <si>
    <t>Payment_Status</t>
  </si>
  <si>
    <t>Payment_Date</t>
  </si>
  <si>
    <t>INV00001</t>
  </si>
  <si>
    <t>Paid</t>
  </si>
  <si>
    <t>INV00002</t>
  </si>
  <si>
    <t>Pending</t>
  </si>
  <si>
    <t>INV00003</t>
  </si>
  <si>
    <t>INV00004</t>
  </si>
  <si>
    <t>INV00005</t>
  </si>
  <si>
    <t>INV00006</t>
  </si>
  <si>
    <t>INV00007</t>
  </si>
  <si>
    <t>INV00008</t>
  </si>
  <si>
    <t>INV00009</t>
  </si>
  <si>
    <t>INV00010</t>
  </si>
  <si>
    <t>INV00011</t>
  </si>
  <si>
    <t>INV00012</t>
  </si>
  <si>
    <t>INV00013</t>
  </si>
  <si>
    <t>INV00014</t>
  </si>
  <si>
    <t>INV00015</t>
  </si>
  <si>
    <t>INV00016</t>
  </si>
  <si>
    <t>INV00017</t>
  </si>
  <si>
    <t>INV00018</t>
  </si>
  <si>
    <t>INV00019</t>
  </si>
  <si>
    <t>INV00020</t>
  </si>
  <si>
    <t>INV00021</t>
  </si>
  <si>
    <t>INV00022</t>
  </si>
  <si>
    <t>INV00023</t>
  </si>
  <si>
    <t>INV00024</t>
  </si>
  <si>
    <t>INV00025</t>
  </si>
  <si>
    <t>INV00026</t>
  </si>
  <si>
    <t>INV00027</t>
  </si>
  <si>
    <t>INV00028</t>
  </si>
  <si>
    <t>INV00029</t>
  </si>
  <si>
    <t>INV00030</t>
  </si>
  <si>
    <t>INV00031</t>
  </si>
  <si>
    <t>INV00032</t>
  </si>
  <si>
    <t>INV00033</t>
  </si>
  <si>
    <t>INV00034</t>
  </si>
  <si>
    <t>INV00035</t>
  </si>
  <si>
    <t>INV00036</t>
  </si>
  <si>
    <t>Overdue</t>
  </si>
  <si>
    <t>INV00037</t>
  </si>
  <si>
    <t>INV00038</t>
  </si>
  <si>
    <t>INV00039</t>
  </si>
  <si>
    <t>INV00040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</si>
  <si>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</si>
  <si>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</si>
  <si>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</si>
  <si>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</si>
  <si>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</si>
  <si>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</si>
  <si>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</si>
  <si>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</si>
  <si>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</si>
  <si>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</si>
  <si>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</si>
  <si>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</si>
  <si>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</si>
  <si>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</si>
  <si>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</si>
  <si>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</si>
  <si>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</si>
  <si>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</si>
  <si>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</si>
  <si>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</si>
  <si>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</si>
  <si>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</si>
  <si>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</si>
  <si>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</si>
  <si>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</si>
  <si>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</si>
  <si>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</si>
  <si>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</si>
  <si>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</si>
  <si>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</si>
  <si>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</si>
  <si>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</si>
  <si>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</si>
  <si>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</si>
  <si>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</si>
  <si>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</si>
  <si>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</si>
  <si>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</si>
  <si>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</si>
  <si>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</si>
  <si>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</si>
  <si>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</si>
  <si>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</si>
  <si>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</si>
  <si>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</si>
  <si>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</si>
  <si>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</si>
  <si>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</si>
  <si>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</si>
  <si>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</si>
  <si>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</si>
  <si>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</si>
  <si>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</si>
  <si>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</si>
  <si>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</si>
  <si>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</si>
  <si>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</si>
  <si>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</si>
  <si>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</si>
  <si>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</si>
  <si>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</si>
  <si>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</si>
  <si>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</si>
  <si>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</si>
  <si>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</si>
  <si>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</si>
  <si>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</si>
  <si>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</si>
  <si>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</si>
  <si>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</si>
  <si>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</si>
  <si>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</si>
  <si>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</si>
  <si>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</si>
  <si>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</si>
  <si>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</si>
  <si>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</si>
  <si>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</si>
  <si>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</si>
  <si>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</si>
  <si>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</si>
  <si>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</si>
  <si>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</si>
  <si>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</si>
  <si>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</si>
  <si>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</si>
  <si>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</si>
  <si>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</si>
  <si>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</si>
  <si>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</si>
  <si>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</si>
  <si>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</si>
  <si>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</si>
  <si>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</si>
  <si>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</si>
  <si>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</si>
  <si>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</si>
  <si>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</si>
  <si>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</si>
  <si>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</si>
  <si>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</si>
  <si>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</si>
  <si>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</si>
  <si>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</si>
  <si>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</si>
  <si>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</si>
  <si>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</si>
  <si>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</si>
  <si>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</si>
  <si>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</si>
  <si>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</si>
  <si>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</si>
  <si>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</si>
  <si>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</si>
  <si>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</si>
  <si>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</si>
  <si>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</si>
  <si>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</si>
  <si>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</si>
  <si>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</si>
  <si>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</si>
  <si>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</si>
  <si>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</si>
  <si>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</si>
  <si>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</si>
  <si>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</si>
  <si>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</si>
  <si>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</si>
  <si>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</si>
  <si>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</si>
  <si>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</si>
  <si>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</si>
  <si>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</si>
  <si>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</si>
  <si>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</si>
  <si>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</si>
  <si>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</si>
  <si>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</si>
  <si>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</si>
  <si>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</si>
  <si>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</si>
  <si>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</si>
  <si>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</si>
  <si>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</si>
  <si>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</si>
  <si>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</si>
  <si>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</si>
  <si>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</si>
  <si>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</si>
  <si>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</si>
  <si>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</si>
  <si>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</si>
  <si>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</si>
  <si>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</si>
  <si>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</si>
  <si>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</si>
  <si>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</si>
  <si>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</si>
  <si>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</si>
  <si>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</si>
  <si>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</si>
  <si>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</si>
  <si>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</si>
  <si>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</si>
  <si>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</si>
  <si>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</si>
  <si>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</si>
  <si>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</si>
  <si>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</si>
  <si>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</si>
  <si>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</si>
  <si>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</si>
  <si>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</si>
  <si>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</si>
  <si>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</si>
  <si>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</si>
  <si>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</si>
  <si>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</si>
  <si>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</si>
  <si>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</si>
  <si>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</si>
  <si>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</si>
  <si>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</si>
  <si>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</si>
  <si>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</si>
  <si>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</si>
  <si>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</si>
  <si>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</si>
  <si>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</si>
  <si>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</si>
  <si>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</si>
  <si>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</si>
  <si>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</si>
  <si>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</si>
  <si>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</si>
  <si>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</si>
  <si>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</si>
  <si>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</si>
  <si>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</si>
  <si>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</si>
  <si>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</si>
  <si>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</si>
  <si>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</si>
  <si>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</si>
  <si>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</si>
  <si>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</si>
  <si>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</si>
  <si>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</si>
  <si>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</si>
  <si>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</si>
  <si>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</si>
  <si>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</si>
  <si>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</si>
  <si>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</si>
  <si>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</si>
  <si>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</si>
  <si>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</si>
  <si>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</si>
  <si>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</si>
  <si>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</si>
  <si>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</si>
  <si>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</si>
  <si>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</si>
  <si>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</si>
  <si>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</si>
  <si>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</si>
  <si>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</si>
  <si>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</si>
  <si>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</si>
  <si>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</si>
  <si>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</si>
  <si>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</si>
  <si>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</si>
  <si>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</si>
  <si>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</si>
  <si>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</si>
  <si>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</si>
  <si>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</si>
  <si>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</si>
  <si>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</si>
  <si>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</si>
  <si>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</si>
  <si>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</si>
  <si>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</si>
  <si>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</si>
  <si>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</si>
  <si>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</si>
  <si>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</si>
  <si>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</si>
  <si>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</si>
  <si>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</si>
  <si>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</si>
  <si>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</si>
  <si>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</si>
  <si>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</si>
  <si>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</si>
  <si>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</si>
  <si>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</si>
  <si>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</si>
  <si>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</si>
  <si>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</si>
  <si>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</si>
  <si>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</si>
  <si>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</si>
  <si>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</si>
  <si>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</si>
  <si>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</si>
  <si>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</si>
  <si>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</si>
  <si>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</si>
  <si>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</si>
  <si>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</si>
  <si>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</si>
  <si>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</si>
  <si>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</si>
  <si>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</si>
  <si>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</si>
  <si>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</si>
  <si>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</si>
  <si>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</si>
  <si>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</si>
  <si>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</si>
  <si>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</si>
  <si>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</si>
  <si>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</si>
  <si>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</si>
  <si>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</si>
  <si>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</si>
  <si>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</si>
  <si>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</si>
  <si>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</si>
  <si>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</si>
  <si>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</si>
  <si>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</si>
  <si>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</si>
  <si>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</si>
  <si>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</si>
  <si>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</si>
  <si>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</si>
  <si>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</si>
  <si>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</si>
  <si>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</si>
  <si>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</si>
  <si>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</si>
  <si>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</si>
  <si>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</si>
  <si>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</si>
  <si>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</si>
  <si>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</si>
  <si>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</si>
  <si>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</si>
  <si>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</si>
  <si>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</si>
  <si>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</si>
  <si>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</si>
  <si>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</si>
  <si>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</si>
  <si>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</si>
  <si>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</si>
  <si>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</si>
  <si>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</si>
  <si>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</si>
  <si>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</si>
  <si>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</si>
  <si>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</si>
  <si>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</si>
  <si>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</si>
  <si>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</si>
  <si>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</si>
  <si>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</si>
  <si>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</si>
  <si>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</si>
  <si>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</si>
  <si>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</si>
  <si>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</si>
  <si>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</si>
  <si>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</si>
  <si>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</si>
  <si>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</si>
  <si>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</si>
  <si>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</si>
  <si>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</si>
  <si>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</si>
  <si>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</si>
  <si>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</si>
  <si>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</si>
  <si>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</si>
  <si>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</si>
  <si>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</si>
  <si>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</si>
  <si>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</si>
  <si>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</si>
  <si>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</si>
  <si>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</si>
  <si>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</si>
  <si>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</si>
  <si>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</si>
  <si>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</si>
  <si>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</si>
  <si>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</si>
  <si>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</si>
  <si>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</si>
  <si>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</si>
  <si>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</si>
  <si>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</si>
  <si>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</si>
  <si>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</si>
  <si>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</si>
  <si>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</si>
  <si>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</si>
  <si>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</si>
  <si>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</si>
  <si>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</si>
  <si>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</si>
  <si>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</si>
  <si>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</si>
  <si>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</si>
  <si>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</si>
  <si>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</si>
  <si>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</si>
  <si>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</si>
  <si>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</si>
  <si>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</si>
  <si>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</si>
  <si>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</si>
  <si>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</si>
  <si>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</si>
  <si>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</si>
  <si>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</si>
  <si>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</si>
  <si>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</si>
  <si>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</si>
  <si>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</si>
  <si>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</si>
  <si>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</si>
  <si>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</si>
  <si>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</si>
  <si>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</si>
  <si>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</si>
  <si>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</si>
  <si>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</si>
  <si>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</si>
  <si>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</si>
  <si>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</si>
  <si>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</si>
  <si>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</si>
  <si>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Feedback_ID</t>
  </si>
  <si>
    <t>Feedback_Date</t>
  </si>
  <si>
    <t>Satisfaction_Rating</t>
  </si>
  <si>
    <t>Recommendation</t>
  </si>
  <si>
    <t>Feedback_Category</t>
  </si>
  <si>
    <t>F00001</t>
  </si>
  <si>
    <t>Yes</t>
  </si>
  <si>
    <t>Support</t>
  </si>
  <si>
    <t>F00002</t>
  </si>
  <si>
    <t>Delivery</t>
  </si>
  <si>
    <t>F00003</t>
  </si>
  <si>
    <t>Communication</t>
  </si>
  <si>
    <t>F00004</t>
  </si>
  <si>
    <t>Value</t>
  </si>
  <si>
    <t>F00005</t>
  </si>
  <si>
    <t>Quality</t>
  </si>
  <si>
    <t>F00006</t>
  </si>
  <si>
    <t>No</t>
  </si>
  <si>
    <t>F00007</t>
  </si>
  <si>
    <t>F00008</t>
  </si>
  <si>
    <t>F00009</t>
  </si>
  <si>
    <t>F00010</t>
  </si>
  <si>
    <t>F00011</t>
  </si>
  <si>
    <t>F00012</t>
  </si>
  <si>
    <t>F00013</t>
  </si>
  <si>
    <t>F00014</t>
  </si>
  <si>
    <t>F00015</t>
  </si>
  <si>
    <t>F00016</t>
  </si>
  <si>
    <t>F00017</t>
  </si>
  <si>
    <t>F00018</t>
  </si>
  <si>
    <t>F00019</t>
  </si>
  <si>
    <t>F00020</t>
  </si>
  <si>
    <t>F00021</t>
  </si>
  <si>
    <t>F00022</t>
  </si>
  <si>
    <t>F00023</t>
  </si>
  <si>
    <t>F00024</t>
  </si>
  <si>
    <t>F00025</t>
  </si>
  <si>
    <t>F00026</t>
  </si>
  <si>
    <t>F00027</t>
  </si>
  <si>
    <t>F00028</t>
  </si>
  <si>
    <t>F00029</t>
  </si>
  <si>
    <t>F00030</t>
  </si>
  <si>
    <t>F00031</t>
  </si>
  <si>
    <t>F00032</t>
  </si>
  <si>
    <t>F00033</t>
  </si>
  <si>
    <t>F00034</t>
  </si>
  <si>
    <t>F00035</t>
  </si>
  <si>
    <t>F00036</t>
  </si>
  <si>
    <t>F00037</t>
  </si>
  <si>
    <t>F00038</t>
  </si>
  <si>
    <t>F00039</t>
  </si>
  <si>
    <t>F00040</t>
  </si>
  <si>
    <t>F00041</t>
  </si>
  <si>
    <t>F00042</t>
  </si>
  <si>
    <t>F00043</t>
  </si>
  <si>
    <t>F00044</t>
  </si>
  <si>
    <t>F00045</t>
  </si>
  <si>
    <t>F00046</t>
  </si>
  <si>
    <t>F00047</t>
  </si>
  <si>
    <t>F00048</t>
  </si>
  <si>
    <t>F00049</t>
  </si>
  <si>
    <t>F00050</t>
  </si>
  <si>
    <t>F00051</t>
  </si>
  <si>
    <t>F00052</t>
  </si>
  <si>
    <t>F00053</t>
  </si>
  <si>
    <t>F00054</t>
  </si>
  <si>
    <t>F00055</t>
  </si>
  <si>
    <t>F00056</t>
  </si>
  <si>
    <t>F00057</t>
  </si>
  <si>
    <t>F00058</t>
  </si>
  <si>
    <t>F00059</t>
  </si>
  <si>
    <t>F00060</t>
  </si>
  <si>
    <t>F00061</t>
  </si>
  <si>
    <t>F00062</t>
  </si>
  <si>
    <t>F00063</t>
  </si>
  <si>
    <t>F00064</t>
  </si>
  <si>
    <t>F00065</t>
  </si>
  <si>
    <t>F00066</t>
  </si>
  <si>
    <t>F00067</t>
  </si>
  <si>
    <t>F00068</t>
  </si>
  <si>
    <t>F00069</t>
  </si>
  <si>
    <t>F00070</t>
  </si>
  <si>
    <t>F00071</t>
  </si>
  <si>
    <t>F00072</t>
  </si>
  <si>
    <t>F00073</t>
  </si>
  <si>
    <t>F00074</t>
  </si>
  <si>
    <t>F00075</t>
  </si>
  <si>
    <t>F00076</t>
  </si>
  <si>
    <t>F00077</t>
  </si>
  <si>
    <t>F00078</t>
  </si>
  <si>
    <t>F00079</t>
  </si>
  <si>
    <t>Date</t>
  </si>
  <si>
    <t>Year</t>
  </si>
  <si>
    <t>Quarter</t>
  </si>
  <si>
    <t>Month_Number</t>
  </si>
  <si>
    <t>Month</t>
  </si>
  <si>
    <t>Year_Month</t>
  </si>
  <si>
    <t>Q1</t>
  </si>
  <si>
    <t>Jan</t>
  </si>
  <si>
    <t>Feb</t>
  </si>
  <si>
    <t>Mar</t>
  </si>
  <si>
    <t>Q2</t>
  </si>
  <si>
    <t>Apr</t>
  </si>
  <si>
    <t>May</t>
  </si>
  <si>
    <t>Jun</t>
  </si>
  <si>
    <t>Q3</t>
  </si>
  <si>
    <t>Jul</t>
  </si>
  <si>
    <t>Aug</t>
  </si>
  <si>
    <t>Sep</t>
  </si>
  <si>
    <t>Q4</t>
  </si>
  <si>
    <t>Oct</t>
  </si>
  <si>
    <t>Nov</t>
  </si>
  <si>
    <t>Dec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</si>
  <si>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</si>
  <si>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</si>
  <si>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</si>
  <si>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</si>
  <si>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</si>
  <si>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</si>
  <si>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</si>
  <si>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</si>
  <si>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</si>
  <si>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</si>
  <si>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</si>
  <si>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</si>
  <si>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</si>
  <si>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</si>
  <si>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</si>
  <si>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</si>
  <si>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</si>
  <si>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</si>
  <si>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</si>
  <si>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</si>
  <si>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</si>
  <si>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</si>
  <si>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</si>
  <si>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CountA</t>
  </si>
  <si>
    <t>CountA Unique</t>
  </si>
  <si>
    <t>Row Labels</t>
  </si>
  <si>
    <t>Grand Total</t>
  </si>
  <si>
    <t>Count of Project_ID</t>
  </si>
  <si>
    <t>Sum of Contract_Value</t>
  </si>
  <si>
    <t>Sum of Budget_Cost</t>
  </si>
  <si>
    <t>Sum of Actual_Cost</t>
  </si>
  <si>
    <t>Sum of Billable_Hours</t>
  </si>
  <si>
    <t>Sum of Worked_Hours</t>
  </si>
  <si>
    <t>Count of Feedback_ID</t>
  </si>
  <si>
    <t xml:space="preserve">Completed </t>
  </si>
  <si>
    <t>Total Paid</t>
  </si>
  <si>
    <t>Total Pending</t>
  </si>
  <si>
    <t>Total OverDue</t>
  </si>
  <si>
    <t>Completion Rate</t>
  </si>
  <si>
    <t>High Satisfaction Feedback</t>
  </si>
  <si>
    <t>Late Completed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</si>
</sst>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4" fontId="0" fillId="0" borderId="0" xfId="0" applyNumberFormat="1" applyAlignment="1">
      <alignment vertical="center"/>
    </xf>
  </cellXfs>
  <cellStyles count="2">
    <cellStyle name="Normal" xfId="0" builtinId="0"/>
    <cellStyle name="Percent" xfId="1" builtinId="5"/>
  </cellStyles>
  <dxfs count="17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8.448602893521" createdVersion="8" refreshedVersion="8" minRefreshableVersion="3" recordCount="220" xr:uid="{54CCB460-9224-481D-9B20-4334511CC831}">
  <cacheSource type="worksheet">
    <worksheetSource name="Table3"/>
  </cacheSource>
  <cacheFields count="14">
    <cacheField name="Project_ID" numFmtId="0">
      <sharedItems/>
    </cacheField>
    <cacheField name="Client_ID" numFmtId="0">
      <sharedItems/>
    </cacheField>
    <cacheField name="Service_ID" numFmtId="0">
      <sharedItems count="8">
        <s v="S02"/>
        <s v="S01"/>
        <s v="S03"/>
        <s v="S08"/>
        <s v="S06"/>
        <s v="S05"/>
        <s v="S07"/>
        <s v="S04"/>
      </sharedItems>
    </cacheField>
    <cacheField name="Project_Name" numFmtId="0">
      <sharedItems/>
    </cacheField>
    <cacheField name="Start_Date" numFmtId="164">
      <sharedItems containsSemiMixedTypes="0" containsNonDate="0" containsDate="1" containsString="0" minDate="2024-01-01T00:00:00" maxDate="2026-06-28T00:00:00"/>
    </cacheField>
    <cacheField name="Planned_Duration_Days" numFmtId="0">
      <sharedItems containsSemiMixedTypes="0" containsString="0" containsNumber="1" containsInteger="1" minValue="30" maxValue="180"/>
    </cacheField>
    <cacheField name="Planned_End_Date" numFmtId="164">
      <sharedItems containsSemiMixedTypes="0" containsNonDate="0" containsDate="1" containsString="0" minDate="2024-02-20T00:00:00" maxDate="2026-11-27T00:00:00"/>
    </cacheField>
    <cacheField name="Status" numFmtId="0">
      <sharedItems count="4">
        <s v="Cancelled"/>
        <s v="Active"/>
        <s v="Completed"/>
        <s v="On Hold"/>
      </sharedItems>
    </cacheField>
    <cacheField name="Contract_Value" numFmtId="0">
      <sharedItems containsSemiMixedTypes="0" containsString="0" containsNumber="1" minValue="30097.95" maxValue="243142.39999999999"/>
    </cacheField>
    <cacheField name="Budget_Cost" numFmtId="0">
      <sharedItems containsSemiMixedTypes="0" containsString="0" containsNumber="1" minValue="21817" maxValue="155457.56"/>
    </cacheField>
    <cacheField name="Actual_Cost" numFmtId="0">
      <sharedItems containsSemiMixedTypes="0" containsString="0" containsNumber="1" minValue="12199.92" maxValue="158831.72"/>
    </cacheField>
    <cacheField name="Actual_Duration_Days" numFmtId="0">
      <sharedItems containsString="0" containsBlank="1" containsNumber="1" containsInteger="1" minValue="10" maxValue="211"/>
    </cacheField>
    <cacheField name="Actual_End_Date" numFmtId="0">
      <sharedItems containsNonDate="0" containsDate="1" containsString="0" containsBlank="1" minDate="2024-03-01T00:00:00" maxDate="2026-10-15T00:00:00"/>
    </cacheField>
    <cacheField name="On_Time_Flag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8.456203935188" createdVersion="8" refreshedVersion="8" minRefreshableVersion="3" recordCount="709" xr:uid="{298D5F04-5528-41AC-AD51-04A1C616A462}">
  <cacheSource type="worksheet">
    <worksheetSource name="table5"/>
  </cacheSource>
  <cacheFields count="6">
    <cacheField name="Assignment_ID" numFmtId="0">
      <sharedItems/>
    </cacheField>
    <cacheField name="Project_ID" numFmtId="0">
      <sharedItems/>
    </cacheField>
    <cacheField name="Employee_ID" numFmtId="0">
      <sharedItems count="45">
        <s v="E014"/>
        <s v="E013"/>
        <s v="E027"/>
        <s v="E020"/>
        <s v="E026"/>
        <s v="E040"/>
        <s v="E030"/>
        <s v="E032"/>
        <s v="E007"/>
        <s v="E017"/>
        <s v="E036"/>
        <s v="E041"/>
        <s v="E018"/>
        <s v="E044"/>
        <s v="E010"/>
        <s v="E002"/>
        <s v="E029"/>
        <s v="E012"/>
        <s v="E031"/>
        <s v="E004"/>
        <s v="E042"/>
        <s v="E005"/>
        <s v="E009"/>
        <s v="E043"/>
        <s v="E016"/>
        <s v="E045"/>
        <s v="E011"/>
        <s v="E015"/>
        <s v="E037"/>
        <s v="E033"/>
        <s v="E021"/>
        <s v="E023"/>
        <s v="E024"/>
        <s v="E006"/>
        <s v="E025"/>
        <s v="E022"/>
        <s v="E028"/>
        <s v="E035"/>
        <s v="E038"/>
        <s v="E008"/>
        <s v="E001"/>
        <s v="E003"/>
        <s v="E034"/>
        <s v="E019"/>
        <s v="E039"/>
      </sharedItems>
    </cacheField>
    <cacheField name="Allocation_Percent" numFmtId="0">
      <sharedItems containsSemiMixedTypes="0" containsString="0" containsNumber="1" minValue="12" maxValue="67"/>
    </cacheField>
    <cacheField name="Billable_Hours" numFmtId="0">
      <sharedItems containsSemiMixedTypes="0" containsString="0" containsNumber="1" containsInteger="1" minValue="60" maxValue="180"/>
    </cacheField>
    <cacheField name="Worked_Hours" numFmtId="0">
      <sharedItems containsSemiMixedTypes="0" containsString="0" containsNumber="1" containsInteger="1" minValue="50" maxValue="1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8.456997222223" createdVersion="8" refreshedVersion="8" minRefreshableVersion="3" recordCount="79" xr:uid="{242926AA-13FF-4E07-9084-2ADF34B48D09}">
  <cacheSource type="worksheet">
    <worksheetSource name="Table7"/>
  </cacheSource>
  <cacheFields count="7">
    <cacheField name="Feedback_ID" numFmtId="0">
      <sharedItems/>
    </cacheField>
    <cacheField name="Project_ID" numFmtId="0">
      <sharedItems/>
    </cacheField>
    <cacheField name="Client_ID" numFmtId="0">
      <sharedItems/>
    </cacheField>
    <cacheField name="Feedback_Date" numFmtId="164">
      <sharedItems containsSemiMixedTypes="0" containsNonDate="0" containsDate="1" containsString="0" minDate="2024-03-24T00:00:00" maxDate="2026-11-04T00:00:00"/>
    </cacheField>
    <cacheField name="Satisfaction_Rating" numFmtId="0">
      <sharedItems containsSemiMixedTypes="0" containsString="0" containsNumber="1" containsInteger="1" minValue="2" maxValue="5" count="4">
        <n v="4"/>
        <n v="5"/>
        <n v="3"/>
        <n v="2"/>
      </sharedItems>
    </cacheField>
    <cacheField name="Recommendation" numFmtId="0">
      <sharedItems/>
    </cacheField>
    <cacheField name="Feedback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s v="P0001"/>
    <s v="C067"/>
    <x v="0"/>
    <s v="Project 0001"/>
    <d v="2024-04-05T00:00:00"/>
    <n v="138"/>
    <d v="2024-08-21T00:00:00"/>
    <x v="0"/>
    <n v="96564.17"/>
    <n v="59187.48"/>
    <n v="17269.82"/>
    <n v="82"/>
    <d v="2024-06-26T00:00:00"/>
    <m/>
  </r>
  <r>
    <s v="P0002"/>
    <s v="C012"/>
    <x v="1"/>
    <s v="Project 0002"/>
    <d v="2025-10-25T00:00:00"/>
    <n v="34"/>
    <d v="2025-11-28T00:00:00"/>
    <x v="1"/>
    <n v="127246.91"/>
    <n v="83196.45"/>
    <n v="35925.22"/>
    <m/>
    <m/>
    <m/>
  </r>
  <r>
    <s v="P0003"/>
    <s v="C020"/>
    <x v="1"/>
    <s v="Project 0003"/>
    <d v="2025-10-24T00:00:00"/>
    <n v="148"/>
    <d v="2026-03-21T00:00:00"/>
    <x v="2"/>
    <n v="102843"/>
    <n v="61785.71"/>
    <n v="66392.75"/>
    <n v="123"/>
    <d v="2026-02-24T00:00:00"/>
    <n v="1"/>
  </r>
  <r>
    <s v="P0004"/>
    <s v="C005"/>
    <x v="0"/>
    <s v="Project 0004"/>
    <d v="2024-07-08T00:00:00"/>
    <n v="62"/>
    <d v="2024-09-08T00:00:00"/>
    <x v="1"/>
    <n v="133892.88"/>
    <n v="93796.99"/>
    <n v="45644.41"/>
    <m/>
    <m/>
    <m/>
  </r>
  <r>
    <s v="P0005"/>
    <s v="C037"/>
    <x v="2"/>
    <s v="Project 0005"/>
    <d v="2026-01-05T00:00:00"/>
    <n v="147"/>
    <d v="2026-06-01T00:00:00"/>
    <x v="1"/>
    <n v="160026.20000000001"/>
    <n v="103462.9"/>
    <n v="69243.89"/>
    <m/>
    <m/>
    <m/>
  </r>
  <r>
    <s v="P0006"/>
    <s v="C038"/>
    <x v="3"/>
    <s v="Project 0006"/>
    <d v="2024-02-06T00:00:00"/>
    <n v="94"/>
    <d v="2024-05-10T00:00:00"/>
    <x v="1"/>
    <n v="97818.13"/>
    <n v="62745.120000000003"/>
    <n v="30563.62"/>
    <m/>
    <m/>
    <m/>
  </r>
  <r>
    <s v="P0007"/>
    <s v="C009"/>
    <x v="4"/>
    <s v="Project 0007"/>
    <d v="2026-02-18T00:00:00"/>
    <n v="175"/>
    <d v="2026-08-12T00:00:00"/>
    <x v="1"/>
    <n v="148495.66"/>
    <n v="112209.68"/>
    <n v="52174.95"/>
    <m/>
    <m/>
    <m/>
  </r>
  <r>
    <s v="P0008"/>
    <s v="C053"/>
    <x v="5"/>
    <s v="Project 0008"/>
    <d v="2025-01-03T00:00:00"/>
    <n v="40"/>
    <d v="2025-02-12T00:00:00"/>
    <x v="2"/>
    <n v="73747.429999999993"/>
    <n v="44175.75"/>
    <n v="47049.38"/>
    <n v="32"/>
    <d v="2025-02-04T00:00:00"/>
    <n v="1"/>
  </r>
  <r>
    <s v="P0009"/>
    <s v="C044"/>
    <x v="5"/>
    <s v="Project 0009"/>
    <d v="2025-11-25T00:00:00"/>
    <n v="114"/>
    <d v="2026-03-19T00:00:00"/>
    <x v="2"/>
    <n v="84637.74"/>
    <n v="55762.58"/>
    <n v="50812.17"/>
    <n v="140"/>
    <d v="2026-04-14T00:00:00"/>
    <n v="0"/>
  </r>
  <r>
    <s v="P0010"/>
    <s v="C024"/>
    <x v="4"/>
    <s v="Project 0010"/>
    <d v="2025-06-08T00:00:00"/>
    <n v="55"/>
    <d v="2025-08-02T00:00:00"/>
    <x v="0"/>
    <n v="138681.79999999999"/>
    <n v="103981.3"/>
    <n v="46470.78"/>
    <n v="26"/>
    <d v="2025-07-04T00:00:00"/>
    <m/>
  </r>
  <r>
    <s v="P0011"/>
    <s v="C074"/>
    <x v="6"/>
    <s v="Project 0011"/>
    <d v="2024-10-05T00:00:00"/>
    <n v="92"/>
    <d v="2025-01-05T00:00:00"/>
    <x v="2"/>
    <n v="176189.5"/>
    <n v="122280.92"/>
    <n v="105251.3"/>
    <n v="79"/>
    <d v="2024-12-23T00:00:00"/>
    <n v="1"/>
  </r>
  <r>
    <s v="P0012"/>
    <s v="C030"/>
    <x v="6"/>
    <s v="Project 0012"/>
    <d v="2024-08-04T00:00:00"/>
    <n v="115"/>
    <d v="2024-11-27T00:00:00"/>
    <x v="1"/>
    <n v="181384.5"/>
    <n v="138177.81"/>
    <n v="90965.93"/>
    <m/>
    <m/>
    <m/>
  </r>
  <r>
    <s v="P0013"/>
    <s v="C059"/>
    <x v="1"/>
    <s v="Project 0013"/>
    <d v="2026-05-16T00:00:00"/>
    <n v="88"/>
    <d v="2026-08-12T00:00:00"/>
    <x v="2"/>
    <n v="88223.23"/>
    <n v="50903.12"/>
    <n v="54783.8"/>
    <n v="75"/>
    <d v="2026-07-30T00:00:00"/>
    <n v="1"/>
  </r>
  <r>
    <s v="P0014"/>
    <s v="C014"/>
    <x v="1"/>
    <s v="Project 0014"/>
    <d v="2026-05-22T00:00:00"/>
    <n v="56"/>
    <d v="2026-07-17T00:00:00"/>
    <x v="2"/>
    <n v="118514.32"/>
    <n v="76912.28"/>
    <n v="77852.63"/>
    <n v="49"/>
    <d v="2026-07-10T00:00:00"/>
    <n v="1"/>
  </r>
  <r>
    <s v="P0015"/>
    <s v="C009"/>
    <x v="2"/>
    <s v="Project 0015"/>
    <d v="2026-03-08T00:00:00"/>
    <n v="127"/>
    <d v="2026-07-13T00:00:00"/>
    <x v="1"/>
    <n v="143945.62"/>
    <n v="88075.79"/>
    <n v="65949.350000000006"/>
    <m/>
    <m/>
    <m/>
  </r>
  <r>
    <s v="P0016"/>
    <s v="C040"/>
    <x v="7"/>
    <s v="Project 0016"/>
    <d v="2024-09-29T00:00:00"/>
    <n v="134"/>
    <d v="2025-02-10T00:00:00"/>
    <x v="1"/>
    <n v="153030.35"/>
    <n v="95090.5"/>
    <n v="54925.23"/>
    <m/>
    <m/>
    <m/>
  </r>
  <r>
    <s v="P0017"/>
    <s v="C066"/>
    <x v="0"/>
    <s v="Project 0017"/>
    <d v="2026-05-30T00:00:00"/>
    <n v="128"/>
    <d v="2026-10-05T00:00:00"/>
    <x v="2"/>
    <n v="99054.19"/>
    <n v="68149.75"/>
    <n v="73557.02"/>
    <n v="119"/>
    <d v="2026-09-26T00:00:00"/>
    <n v="1"/>
  </r>
  <r>
    <s v="P0018"/>
    <s v="C025"/>
    <x v="1"/>
    <s v="Project 0018"/>
    <d v="2024-03-02T00:00:00"/>
    <n v="158"/>
    <d v="2024-08-07T00:00:00"/>
    <x v="1"/>
    <n v="42007.19"/>
    <n v="31414.16"/>
    <n v="23244.14"/>
    <m/>
    <m/>
    <m/>
  </r>
  <r>
    <s v="P0019"/>
    <s v="C073"/>
    <x v="5"/>
    <s v="Project 0019"/>
    <d v="2025-08-18T00:00:00"/>
    <n v="178"/>
    <d v="2026-02-12T00:00:00"/>
    <x v="2"/>
    <n v="69627.67"/>
    <n v="39975.61"/>
    <n v="46995.27"/>
    <n v="161"/>
    <d v="2026-01-26T00:00:00"/>
    <n v="1"/>
  </r>
  <r>
    <s v="P0020"/>
    <s v="C022"/>
    <x v="2"/>
    <s v="Project 0020"/>
    <d v="2026-05-29T00:00:00"/>
    <n v="84"/>
    <d v="2026-08-21T00:00:00"/>
    <x v="2"/>
    <n v="122413.05"/>
    <n v="71339.14"/>
    <n v="75190.84"/>
    <n v="86"/>
    <d v="2026-08-23T00:00:00"/>
    <n v="0"/>
  </r>
  <r>
    <s v="P0021"/>
    <s v="C004"/>
    <x v="0"/>
    <s v="Project 0021"/>
    <d v="2025-12-29T00:00:00"/>
    <n v="35"/>
    <d v="2026-02-02T00:00:00"/>
    <x v="2"/>
    <n v="122702.31"/>
    <n v="67762.02"/>
    <n v="69174.509999999995"/>
    <n v="33"/>
    <d v="2026-01-31T00:00:00"/>
    <n v="1"/>
  </r>
  <r>
    <s v="P0022"/>
    <s v="C026"/>
    <x v="2"/>
    <s v="Project 0022"/>
    <d v="2024-12-07T00:00:00"/>
    <n v="124"/>
    <d v="2025-04-10T00:00:00"/>
    <x v="2"/>
    <n v="194874.05"/>
    <n v="111119"/>
    <n v="95668.68"/>
    <n v="118"/>
    <d v="2025-04-04T00:00:00"/>
    <n v="1"/>
  </r>
  <r>
    <s v="P0023"/>
    <s v="C058"/>
    <x v="0"/>
    <s v="Project 0023"/>
    <d v="2025-01-31T00:00:00"/>
    <n v="162"/>
    <d v="2025-07-12T00:00:00"/>
    <x v="2"/>
    <n v="105667.91"/>
    <n v="61342.82"/>
    <n v="66098.33"/>
    <n v="170"/>
    <d v="2025-07-20T00:00:00"/>
    <n v="0"/>
  </r>
  <r>
    <s v="P0024"/>
    <s v="C029"/>
    <x v="0"/>
    <s v="Project 0024"/>
    <d v="2025-11-29T00:00:00"/>
    <n v="131"/>
    <d v="2026-04-09T00:00:00"/>
    <x v="1"/>
    <n v="92288.57"/>
    <n v="67752.27"/>
    <n v="30493.61"/>
    <m/>
    <m/>
    <m/>
  </r>
  <r>
    <s v="P0025"/>
    <s v="C037"/>
    <x v="4"/>
    <s v="Project 0025"/>
    <d v="2024-01-19T00:00:00"/>
    <n v="32"/>
    <d v="2024-02-20T00:00:00"/>
    <x v="1"/>
    <n v="196178.73"/>
    <n v="109323.5"/>
    <n v="89438.23"/>
    <m/>
    <m/>
    <m/>
  </r>
  <r>
    <s v="P0026"/>
    <s v="C075"/>
    <x v="1"/>
    <s v="Project 0026"/>
    <d v="2024-06-25T00:00:00"/>
    <n v="52"/>
    <d v="2024-08-16T00:00:00"/>
    <x v="2"/>
    <n v="108307.75"/>
    <n v="60863.91"/>
    <n v="65975.86"/>
    <n v="54"/>
    <d v="2024-08-18T00:00:00"/>
    <n v="0"/>
  </r>
  <r>
    <s v="P0027"/>
    <s v="C070"/>
    <x v="3"/>
    <s v="Project 0027"/>
    <d v="2025-09-03T00:00:00"/>
    <n v="82"/>
    <d v="2025-11-24T00:00:00"/>
    <x v="3"/>
    <n v="108651.79"/>
    <n v="79793.600000000006"/>
    <n v="29501.7"/>
    <m/>
    <m/>
    <m/>
  </r>
  <r>
    <s v="P0028"/>
    <s v="C018"/>
    <x v="2"/>
    <s v="Project 0028"/>
    <d v="2025-01-30T00:00:00"/>
    <n v="112"/>
    <d v="2025-05-22T00:00:00"/>
    <x v="1"/>
    <n v="160988.51"/>
    <n v="118714.5"/>
    <n v="46305.47"/>
    <m/>
    <m/>
    <m/>
  </r>
  <r>
    <s v="P0029"/>
    <s v="C042"/>
    <x v="3"/>
    <s v="Project 0029"/>
    <d v="2025-03-20T00:00:00"/>
    <n v="174"/>
    <d v="2025-09-10T00:00:00"/>
    <x v="2"/>
    <n v="102519.73"/>
    <n v="75657.36"/>
    <n v="80376.91"/>
    <n v="174"/>
    <d v="2025-09-10T00:00:00"/>
    <n v="1"/>
  </r>
  <r>
    <s v="P0030"/>
    <s v="C041"/>
    <x v="2"/>
    <s v="Project 0030"/>
    <d v="2024-08-20T00:00:00"/>
    <n v="114"/>
    <d v="2024-12-12T00:00:00"/>
    <x v="0"/>
    <n v="169264.48"/>
    <n v="113588.76"/>
    <n v="15531.39"/>
    <n v="53"/>
    <d v="2024-10-12T00:00:00"/>
    <m/>
  </r>
  <r>
    <s v="P0031"/>
    <s v="C038"/>
    <x v="4"/>
    <s v="Project 0031"/>
    <d v="2024-03-16T00:00:00"/>
    <n v="107"/>
    <d v="2024-07-01T00:00:00"/>
    <x v="0"/>
    <n v="115957.98"/>
    <n v="84838.42"/>
    <n v="27503.599999999999"/>
    <n v="45"/>
    <d v="2024-04-30T00:00:00"/>
    <m/>
  </r>
  <r>
    <s v="P0032"/>
    <s v="C034"/>
    <x v="5"/>
    <s v="Project 0032"/>
    <d v="2024-09-21T00:00:00"/>
    <n v="139"/>
    <d v="2025-02-07T00:00:00"/>
    <x v="2"/>
    <n v="61848.81"/>
    <n v="41917.019999999997"/>
    <n v="38789.589999999997"/>
    <n v="156"/>
    <d v="2025-02-24T00:00:00"/>
    <n v="0"/>
  </r>
  <r>
    <s v="P0033"/>
    <s v="C017"/>
    <x v="3"/>
    <s v="Project 0033"/>
    <d v="2025-03-30T00:00:00"/>
    <n v="30"/>
    <d v="2025-04-29T00:00:00"/>
    <x v="2"/>
    <n v="75187.8"/>
    <n v="53116.61"/>
    <n v="45686.41"/>
    <n v="24"/>
    <d v="2025-04-23T00:00:00"/>
    <n v="1"/>
  </r>
  <r>
    <s v="P0034"/>
    <s v="C037"/>
    <x v="5"/>
    <s v="Project 0034"/>
    <d v="2026-03-06T00:00:00"/>
    <n v="80"/>
    <d v="2026-05-25T00:00:00"/>
    <x v="0"/>
    <n v="78689.87"/>
    <n v="47943.15"/>
    <n v="23526.79"/>
    <n v="26"/>
    <d v="2026-04-01T00:00:00"/>
    <m/>
  </r>
  <r>
    <s v="P0035"/>
    <s v="C025"/>
    <x v="6"/>
    <s v="Project 0035"/>
    <d v="2025-12-18T00:00:00"/>
    <n v="33"/>
    <d v="2026-01-20T00:00:00"/>
    <x v="1"/>
    <n v="192837.34"/>
    <n v="124932.27"/>
    <n v="65335.519999999997"/>
    <m/>
    <m/>
    <m/>
  </r>
  <r>
    <s v="P0036"/>
    <s v="C076"/>
    <x v="1"/>
    <s v="Project 0036"/>
    <d v="2026-01-04T00:00:00"/>
    <n v="142"/>
    <d v="2026-05-26T00:00:00"/>
    <x v="2"/>
    <n v="107288.54"/>
    <n v="68164.58"/>
    <n v="58842.13"/>
    <n v="176"/>
    <d v="2026-06-29T00:00:00"/>
    <n v="0"/>
  </r>
  <r>
    <s v="P0037"/>
    <s v="C027"/>
    <x v="1"/>
    <s v="Project 0037"/>
    <d v="2025-01-18T00:00:00"/>
    <n v="61"/>
    <d v="2025-03-20T00:00:00"/>
    <x v="1"/>
    <n v="94444.15"/>
    <n v="61471.95"/>
    <n v="43806.69"/>
    <m/>
    <m/>
    <m/>
  </r>
  <r>
    <s v="P0038"/>
    <s v="C057"/>
    <x v="7"/>
    <s v="Project 0038"/>
    <d v="2025-07-17T00:00:00"/>
    <n v="63"/>
    <d v="2025-09-18T00:00:00"/>
    <x v="3"/>
    <n v="221465.09"/>
    <n v="146595.24"/>
    <n v="93338.89"/>
    <m/>
    <m/>
    <m/>
  </r>
  <r>
    <s v="P0039"/>
    <s v="C031"/>
    <x v="4"/>
    <s v="Project 0039"/>
    <d v="2026-04-30T00:00:00"/>
    <n v="121"/>
    <d v="2026-08-29T00:00:00"/>
    <x v="1"/>
    <n v="144303.29999999999"/>
    <n v="88554.66"/>
    <n v="57221.82"/>
    <m/>
    <m/>
    <m/>
  </r>
  <r>
    <s v="P0040"/>
    <s v="C006"/>
    <x v="5"/>
    <s v="Project 0040"/>
    <d v="2025-05-20T00:00:00"/>
    <n v="124"/>
    <d v="2025-09-21T00:00:00"/>
    <x v="1"/>
    <n v="83608.36"/>
    <n v="63529.279999999999"/>
    <n v="28926.86"/>
    <m/>
    <m/>
    <m/>
  </r>
  <r>
    <s v="P0041"/>
    <s v="C040"/>
    <x v="0"/>
    <s v="Project 0041"/>
    <d v="2025-01-01T00:00:00"/>
    <n v="101"/>
    <d v="2025-04-12T00:00:00"/>
    <x v="3"/>
    <n v="145732.28"/>
    <n v="104725.54"/>
    <n v="27834.36"/>
    <m/>
    <m/>
    <m/>
  </r>
  <r>
    <s v="P0042"/>
    <s v="C012"/>
    <x v="2"/>
    <s v="Project 0042"/>
    <d v="2024-05-23T00:00:00"/>
    <n v="68"/>
    <d v="2024-07-30T00:00:00"/>
    <x v="2"/>
    <n v="182506.81"/>
    <n v="130426.62"/>
    <n v="118596.33"/>
    <n v="82"/>
    <d v="2024-08-13T00:00:00"/>
    <n v="0"/>
  </r>
  <r>
    <s v="P0043"/>
    <s v="C053"/>
    <x v="1"/>
    <s v="Project 0043"/>
    <d v="2026-06-03T00:00:00"/>
    <n v="147"/>
    <d v="2026-10-28T00:00:00"/>
    <x v="2"/>
    <n v="96411.24"/>
    <n v="63942.239999999998"/>
    <n v="72724.55"/>
    <n v="133"/>
    <d v="2026-10-14T00:00:00"/>
    <n v="1"/>
  </r>
  <r>
    <s v="P0044"/>
    <s v="C071"/>
    <x v="3"/>
    <s v="Project 0044"/>
    <d v="2024-03-09T00:00:00"/>
    <n v="32"/>
    <d v="2024-04-10T00:00:00"/>
    <x v="1"/>
    <n v="93587.22"/>
    <n v="61058.19"/>
    <n v="37087.279999999999"/>
    <m/>
    <m/>
    <m/>
  </r>
  <r>
    <s v="P0045"/>
    <s v="C010"/>
    <x v="2"/>
    <s v="Project 0045"/>
    <d v="2024-04-08T00:00:00"/>
    <n v="152"/>
    <d v="2024-09-07T00:00:00"/>
    <x v="3"/>
    <n v="175381.98"/>
    <n v="103056.29"/>
    <n v="40762.97"/>
    <m/>
    <m/>
    <m/>
  </r>
  <r>
    <s v="P0046"/>
    <s v="C045"/>
    <x v="2"/>
    <s v="Project 0046"/>
    <d v="2025-01-30T00:00:00"/>
    <n v="79"/>
    <d v="2025-04-19T00:00:00"/>
    <x v="2"/>
    <n v="86416.82"/>
    <n v="66797.16"/>
    <n v="71254.070000000007"/>
    <n v="72"/>
    <d v="2025-04-12T00:00:00"/>
    <n v="1"/>
  </r>
  <r>
    <s v="P0047"/>
    <s v="C017"/>
    <x v="7"/>
    <s v="Project 0047"/>
    <d v="2024-01-25T00:00:00"/>
    <n v="41"/>
    <d v="2024-03-06T00:00:00"/>
    <x v="1"/>
    <n v="223865.73"/>
    <n v="129864.72"/>
    <n v="108425.42"/>
    <m/>
    <m/>
    <m/>
  </r>
  <r>
    <s v="P0048"/>
    <s v="C026"/>
    <x v="5"/>
    <s v="Project 0048"/>
    <d v="2026-06-09T00:00:00"/>
    <n v="83"/>
    <d v="2026-08-31T00:00:00"/>
    <x v="1"/>
    <n v="59095.59"/>
    <n v="38670.47"/>
    <n v="18098.759999999998"/>
    <m/>
    <m/>
    <m/>
  </r>
  <r>
    <s v="P0049"/>
    <s v="C062"/>
    <x v="1"/>
    <s v="Project 0049"/>
    <d v="2025-04-13T00:00:00"/>
    <n v="162"/>
    <d v="2025-09-22T00:00:00"/>
    <x v="2"/>
    <n v="48515.88"/>
    <n v="35932.959999999999"/>
    <n v="33492.239999999998"/>
    <n v="161"/>
    <d v="2025-09-21T00:00:00"/>
    <n v="1"/>
  </r>
  <r>
    <s v="P0050"/>
    <s v="C046"/>
    <x v="2"/>
    <s v="Project 0050"/>
    <d v="2025-04-28T00:00:00"/>
    <n v="86"/>
    <d v="2025-07-23T00:00:00"/>
    <x v="1"/>
    <n v="147828.56"/>
    <n v="102288.99"/>
    <n v="71948.91"/>
    <m/>
    <m/>
    <m/>
  </r>
  <r>
    <s v="P0051"/>
    <s v="C064"/>
    <x v="1"/>
    <s v="Project 0051"/>
    <d v="2025-07-18T00:00:00"/>
    <n v="174"/>
    <d v="2026-01-08T00:00:00"/>
    <x v="3"/>
    <n v="83096.69"/>
    <n v="46404.05"/>
    <n v="26366.83"/>
    <m/>
    <m/>
    <m/>
  </r>
  <r>
    <s v="P0052"/>
    <s v="C002"/>
    <x v="0"/>
    <s v="Project 0052"/>
    <d v="2024-05-30T00:00:00"/>
    <n v="141"/>
    <d v="2024-10-18T00:00:00"/>
    <x v="1"/>
    <n v="101547.96"/>
    <n v="71355.22"/>
    <n v="41908.019999999997"/>
    <m/>
    <m/>
    <m/>
  </r>
  <r>
    <s v="P0053"/>
    <s v="C054"/>
    <x v="7"/>
    <s v="Project 0053"/>
    <d v="2024-05-23T00:00:00"/>
    <n v="76"/>
    <d v="2024-08-07T00:00:00"/>
    <x v="1"/>
    <n v="195124.64"/>
    <n v="133588.48000000001"/>
    <n v="104751.49"/>
    <m/>
    <m/>
    <m/>
  </r>
  <r>
    <s v="P0054"/>
    <s v="C065"/>
    <x v="0"/>
    <s v="Project 0054"/>
    <d v="2025-07-22T00:00:00"/>
    <n v="180"/>
    <d v="2026-01-18T00:00:00"/>
    <x v="2"/>
    <n v="120407.01"/>
    <n v="71924.34"/>
    <n v="67538.210000000006"/>
    <n v="153"/>
    <d v="2025-12-22T00:00:00"/>
    <n v="1"/>
  </r>
  <r>
    <s v="P0055"/>
    <s v="C051"/>
    <x v="1"/>
    <s v="Project 0055"/>
    <d v="2024-02-08T00:00:00"/>
    <n v="114"/>
    <d v="2024-06-01T00:00:00"/>
    <x v="1"/>
    <n v="90958.03"/>
    <n v="69621.03"/>
    <n v="25736.93"/>
    <m/>
    <m/>
    <m/>
  </r>
  <r>
    <s v="P0056"/>
    <s v="C053"/>
    <x v="6"/>
    <s v="Project 0056"/>
    <d v="2024-04-18T00:00:00"/>
    <n v="171"/>
    <d v="2024-10-06T00:00:00"/>
    <x v="2"/>
    <n v="135798.47"/>
    <n v="78503.100000000006"/>
    <n v="90920.62"/>
    <n v="171"/>
    <d v="2024-10-06T00:00:00"/>
    <n v="1"/>
  </r>
  <r>
    <s v="P0057"/>
    <s v="C036"/>
    <x v="3"/>
    <s v="Project 0057"/>
    <d v="2025-11-23T00:00:00"/>
    <n v="95"/>
    <d v="2026-02-26T00:00:00"/>
    <x v="2"/>
    <n v="101729.97"/>
    <n v="56924.2"/>
    <n v="66919.41"/>
    <n v="82"/>
    <d v="2026-02-13T00:00:00"/>
    <n v="1"/>
  </r>
  <r>
    <s v="P0058"/>
    <s v="C026"/>
    <x v="1"/>
    <s v="Project 0058"/>
    <d v="2024-02-11T00:00:00"/>
    <n v="104"/>
    <d v="2024-05-25T00:00:00"/>
    <x v="1"/>
    <n v="50435.63"/>
    <n v="38935.160000000003"/>
    <n v="13723.48"/>
    <m/>
    <m/>
    <m/>
  </r>
  <r>
    <s v="P0059"/>
    <s v="C029"/>
    <x v="5"/>
    <s v="Project 0059"/>
    <d v="2024-07-04T00:00:00"/>
    <n v="132"/>
    <d v="2024-11-13T00:00:00"/>
    <x v="2"/>
    <n v="72145.88"/>
    <n v="54082.080000000002"/>
    <n v="55171.65"/>
    <n v="132"/>
    <d v="2024-11-13T00:00:00"/>
    <n v="1"/>
  </r>
  <r>
    <s v="P0060"/>
    <s v="C021"/>
    <x v="2"/>
    <s v="Project 0060"/>
    <d v="2025-02-01T00:00:00"/>
    <n v="67"/>
    <d v="2025-04-09T00:00:00"/>
    <x v="2"/>
    <n v="153938.07"/>
    <n v="101973.92"/>
    <n v="91377.3"/>
    <n v="73"/>
    <d v="2025-04-15T00:00:00"/>
    <n v="0"/>
  </r>
  <r>
    <s v="P0061"/>
    <s v="C011"/>
    <x v="2"/>
    <s v="Project 0061"/>
    <d v="2024-08-10T00:00:00"/>
    <n v="79"/>
    <d v="2024-10-28T00:00:00"/>
    <x v="1"/>
    <n v="111095.19"/>
    <n v="78309.83"/>
    <n v="65385.26"/>
    <m/>
    <m/>
    <m/>
  </r>
  <r>
    <s v="P0062"/>
    <s v="C040"/>
    <x v="0"/>
    <s v="Project 0062"/>
    <d v="2025-09-25T00:00:00"/>
    <n v="127"/>
    <d v="2026-01-30T00:00:00"/>
    <x v="2"/>
    <n v="125591.29"/>
    <n v="71787.62"/>
    <n v="71531.89"/>
    <n v="140"/>
    <d v="2026-02-12T00:00:00"/>
    <n v="0"/>
  </r>
  <r>
    <s v="P0063"/>
    <s v="C011"/>
    <x v="3"/>
    <s v="Project 0063"/>
    <d v="2024-05-12T00:00:00"/>
    <n v="111"/>
    <d v="2024-08-31T00:00:00"/>
    <x v="2"/>
    <n v="95804.99"/>
    <n v="67954.86"/>
    <n v="78944.7"/>
    <n v="130"/>
    <d v="2024-09-19T00:00:00"/>
    <n v="0"/>
  </r>
  <r>
    <s v="P0064"/>
    <s v="C036"/>
    <x v="7"/>
    <s v="Project 0064"/>
    <d v="2024-06-11T00:00:00"/>
    <n v="59"/>
    <d v="2024-08-09T00:00:00"/>
    <x v="1"/>
    <n v="188610.34"/>
    <n v="133375.25"/>
    <n v="79836.740000000005"/>
    <m/>
    <m/>
    <m/>
  </r>
  <r>
    <s v="P0065"/>
    <s v="C059"/>
    <x v="6"/>
    <s v="Project 0065"/>
    <d v="2024-08-02T00:00:00"/>
    <n v="108"/>
    <d v="2024-11-18T00:00:00"/>
    <x v="1"/>
    <n v="193896.39"/>
    <n v="132090.01999999999"/>
    <n v="48238.42"/>
    <m/>
    <m/>
    <m/>
  </r>
  <r>
    <s v="P0066"/>
    <s v="C039"/>
    <x v="4"/>
    <s v="Project 0066"/>
    <d v="2026-01-02T00:00:00"/>
    <n v="120"/>
    <d v="2026-05-02T00:00:00"/>
    <x v="2"/>
    <n v="160151.48000000001"/>
    <n v="122374.66"/>
    <n v="131338.54"/>
    <n v="133"/>
    <d v="2026-05-15T00:00:00"/>
    <n v="0"/>
  </r>
  <r>
    <s v="P0067"/>
    <s v="C054"/>
    <x v="3"/>
    <s v="Project 0067"/>
    <d v="2024-08-22T00:00:00"/>
    <n v="81"/>
    <d v="2024-11-11T00:00:00"/>
    <x v="3"/>
    <n v="114052.06"/>
    <n v="73060.479999999996"/>
    <n v="38401.79"/>
    <m/>
    <m/>
    <m/>
  </r>
  <r>
    <s v="P0068"/>
    <s v="C055"/>
    <x v="2"/>
    <s v="Project 0068"/>
    <d v="2026-04-22T00:00:00"/>
    <n v="108"/>
    <d v="2026-08-08T00:00:00"/>
    <x v="2"/>
    <n v="104795.45"/>
    <n v="60206.7"/>
    <n v="71032.259999999995"/>
    <n v="118"/>
    <d v="2026-08-18T00:00:00"/>
    <n v="0"/>
  </r>
  <r>
    <s v="P0069"/>
    <s v="C024"/>
    <x v="5"/>
    <s v="Project 0069"/>
    <d v="2025-10-19T00:00:00"/>
    <n v="59"/>
    <d v="2025-12-17T00:00:00"/>
    <x v="1"/>
    <n v="85479.2"/>
    <n v="62395.42"/>
    <n v="39528.01"/>
    <m/>
    <m/>
    <m/>
  </r>
  <r>
    <s v="P0070"/>
    <s v="C022"/>
    <x v="3"/>
    <s v="Project 0070"/>
    <d v="2026-01-20T00:00:00"/>
    <n v="135"/>
    <d v="2026-06-04T00:00:00"/>
    <x v="1"/>
    <n v="94447.64"/>
    <n v="67987.5"/>
    <n v="53659.66"/>
    <m/>
    <m/>
    <m/>
  </r>
  <r>
    <s v="P0071"/>
    <s v="C069"/>
    <x v="0"/>
    <s v="Project 0071"/>
    <d v="2025-08-10T00:00:00"/>
    <n v="80"/>
    <d v="2025-10-29T00:00:00"/>
    <x v="0"/>
    <n v="69228.19"/>
    <n v="48705.25"/>
    <n v="21577.81"/>
    <n v="40"/>
    <d v="2025-09-19T00:00:00"/>
    <m/>
  </r>
  <r>
    <s v="P0072"/>
    <s v="C056"/>
    <x v="0"/>
    <s v="Project 0072"/>
    <d v="2024-01-09T00:00:00"/>
    <n v="110"/>
    <d v="2024-04-28T00:00:00"/>
    <x v="1"/>
    <n v="87403.92"/>
    <n v="64110.53"/>
    <n v="36401.42"/>
    <m/>
    <m/>
    <m/>
  </r>
  <r>
    <s v="P0073"/>
    <s v="C033"/>
    <x v="4"/>
    <s v="Project 0073"/>
    <d v="2024-03-14T00:00:00"/>
    <n v="162"/>
    <d v="2024-08-23T00:00:00"/>
    <x v="1"/>
    <n v="145048.17000000001"/>
    <n v="97941.23"/>
    <n v="34561.440000000002"/>
    <m/>
    <m/>
    <m/>
  </r>
  <r>
    <s v="P0074"/>
    <s v="C036"/>
    <x v="5"/>
    <s v="Project 0074"/>
    <d v="2025-05-06T00:00:00"/>
    <n v="58"/>
    <d v="2025-07-03T00:00:00"/>
    <x v="1"/>
    <n v="71933.88"/>
    <n v="44933.84"/>
    <n v="23960.1"/>
    <m/>
    <m/>
    <m/>
  </r>
  <r>
    <s v="P0075"/>
    <s v="C020"/>
    <x v="7"/>
    <s v="Project 0075"/>
    <d v="2024-09-09T00:00:00"/>
    <n v="161"/>
    <d v="2025-02-17T00:00:00"/>
    <x v="2"/>
    <n v="243142.39999999999"/>
    <n v="155457.56"/>
    <n v="144325.17000000001"/>
    <n v="161"/>
    <d v="2025-02-17T00:00:00"/>
    <n v="1"/>
  </r>
  <r>
    <s v="P0076"/>
    <s v="C062"/>
    <x v="3"/>
    <s v="Project 0076"/>
    <d v="2024-08-17T00:00:00"/>
    <n v="167"/>
    <d v="2025-01-31T00:00:00"/>
    <x v="2"/>
    <n v="81366.850000000006"/>
    <n v="51736.94"/>
    <n v="45226.09"/>
    <n v="150"/>
    <d v="2025-01-14T00:00:00"/>
    <n v="1"/>
  </r>
  <r>
    <s v="P0077"/>
    <s v="C073"/>
    <x v="5"/>
    <s v="Project 0077"/>
    <d v="2025-06-02T00:00:00"/>
    <n v="174"/>
    <d v="2025-11-23T00:00:00"/>
    <x v="1"/>
    <n v="95287.03"/>
    <n v="65984.63"/>
    <n v="38386.36"/>
    <m/>
    <m/>
    <m/>
  </r>
  <r>
    <s v="P0078"/>
    <s v="C026"/>
    <x v="7"/>
    <s v="Project 0078"/>
    <d v="2024-06-22T00:00:00"/>
    <n v="103"/>
    <d v="2024-10-03T00:00:00"/>
    <x v="2"/>
    <n v="219988.76"/>
    <n v="140209.99"/>
    <n v="143196.04999999999"/>
    <n v="122"/>
    <d v="2024-10-22T00:00:00"/>
    <n v="0"/>
  </r>
  <r>
    <s v="P0079"/>
    <s v="C066"/>
    <x v="5"/>
    <s v="Project 0079"/>
    <d v="2025-10-14T00:00:00"/>
    <n v="46"/>
    <d v="2025-11-29T00:00:00"/>
    <x v="1"/>
    <n v="63004.639999999999"/>
    <n v="39597.599999999999"/>
    <n v="21386.57"/>
    <m/>
    <m/>
    <m/>
  </r>
  <r>
    <s v="P0080"/>
    <s v="C073"/>
    <x v="5"/>
    <s v="Project 0080"/>
    <d v="2024-06-16T00:00:00"/>
    <n v="113"/>
    <d v="2024-10-07T00:00:00"/>
    <x v="2"/>
    <n v="69692.990000000005"/>
    <n v="44724.03"/>
    <n v="45890.83"/>
    <n v="119"/>
    <d v="2024-10-13T00:00:00"/>
    <n v="0"/>
  </r>
  <r>
    <s v="P0081"/>
    <s v="C073"/>
    <x v="1"/>
    <s v="Project 0081"/>
    <d v="2024-06-18T00:00:00"/>
    <n v="98"/>
    <d v="2024-09-24T00:00:00"/>
    <x v="1"/>
    <n v="117408.6"/>
    <n v="86528.58"/>
    <n v="61354.09"/>
    <m/>
    <m/>
    <m/>
  </r>
  <r>
    <s v="P0082"/>
    <s v="C040"/>
    <x v="0"/>
    <s v="Project 0082"/>
    <d v="2025-01-27T00:00:00"/>
    <n v="63"/>
    <d v="2025-03-31T00:00:00"/>
    <x v="2"/>
    <n v="123646.6"/>
    <n v="95179.5"/>
    <n v="87051.81"/>
    <n v="50"/>
    <d v="2025-03-18T00:00:00"/>
    <n v="1"/>
  </r>
  <r>
    <s v="P0083"/>
    <s v="C017"/>
    <x v="3"/>
    <s v="Project 0083"/>
    <d v="2026-03-05T00:00:00"/>
    <n v="35"/>
    <d v="2026-04-09T00:00:00"/>
    <x v="2"/>
    <n v="94440.91"/>
    <n v="72079"/>
    <n v="83493.710000000006"/>
    <n v="28"/>
    <d v="2026-04-02T00:00:00"/>
    <n v="1"/>
  </r>
  <r>
    <s v="P0084"/>
    <s v="C001"/>
    <x v="5"/>
    <s v="Project 0084"/>
    <d v="2025-09-25T00:00:00"/>
    <n v="82"/>
    <d v="2025-12-16T00:00:00"/>
    <x v="1"/>
    <n v="76038.100000000006"/>
    <n v="47970.400000000001"/>
    <n v="19222.240000000002"/>
    <m/>
    <m/>
    <m/>
  </r>
  <r>
    <s v="P0085"/>
    <s v="C061"/>
    <x v="3"/>
    <s v="Project 0085"/>
    <d v="2024-07-12T00:00:00"/>
    <n v="155"/>
    <d v="2024-12-14T00:00:00"/>
    <x v="2"/>
    <n v="62754.95"/>
    <n v="38626.980000000003"/>
    <n v="43069.02"/>
    <n v="145"/>
    <d v="2024-12-04T00:00:00"/>
    <n v="1"/>
  </r>
  <r>
    <s v="P0086"/>
    <s v="C043"/>
    <x v="4"/>
    <s v="Project 0086"/>
    <d v="2025-05-31T00:00:00"/>
    <n v="72"/>
    <d v="2025-08-11T00:00:00"/>
    <x v="1"/>
    <n v="146754.79"/>
    <n v="98913.77"/>
    <n v="50016.13"/>
    <m/>
    <m/>
    <m/>
  </r>
  <r>
    <s v="P0087"/>
    <s v="C042"/>
    <x v="5"/>
    <s v="Project 0087"/>
    <d v="2024-01-29T00:00:00"/>
    <n v="144"/>
    <d v="2024-06-21T00:00:00"/>
    <x v="2"/>
    <n v="93323.57"/>
    <n v="57179.68"/>
    <n v="50902.63"/>
    <n v="141"/>
    <d v="2024-06-18T00:00:00"/>
    <n v="1"/>
  </r>
  <r>
    <s v="P0088"/>
    <s v="C025"/>
    <x v="2"/>
    <s v="Project 0088"/>
    <d v="2024-06-13T00:00:00"/>
    <n v="140"/>
    <d v="2024-10-31T00:00:00"/>
    <x v="2"/>
    <n v="163810.96"/>
    <n v="96921.11"/>
    <n v="88186.06"/>
    <n v="154"/>
    <d v="2024-11-14T00:00:00"/>
    <n v="0"/>
  </r>
  <r>
    <s v="P0089"/>
    <s v="C039"/>
    <x v="0"/>
    <s v="Project 0089"/>
    <d v="2025-02-25T00:00:00"/>
    <n v="180"/>
    <d v="2025-08-24T00:00:00"/>
    <x v="1"/>
    <n v="154688.35999999999"/>
    <n v="88881.1"/>
    <n v="56320.05"/>
    <m/>
    <m/>
    <m/>
  </r>
  <r>
    <s v="P0090"/>
    <s v="C035"/>
    <x v="2"/>
    <s v="Project 0090"/>
    <d v="2024-12-04T00:00:00"/>
    <n v="109"/>
    <d v="2025-03-23T00:00:00"/>
    <x v="2"/>
    <n v="146846.31"/>
    <n v="89430.79"/>
    <n v="90286.65"/>
    <n v="134"/>
    <d v="2025-04-17T00:00:00"/>
    <n v="0"/>
  </r>
  <r>
    <s v="P0091"/>
    <s v="C003"/>
    <x v="3"/>
    <s v="Project 0091"/>
    <d v="2025-10-09T00:00:00"/>
    <n v="124"/>
    <d v="2026-02-10T00:00:00"/>
    <x v="1"/>
    <n v="104926.11"/>
    <n v="58757.04"/>
    <n v="39166.01"/>
    <m/>
    <m/>
    <m/>
  </r>
  <r>
    <s v="P0092"/>
    <s v="C044"/>
    <x v="3"/>
    <s v="Project 0092"/>
    <d v="2025-05-10T00:00:00"/>
    <n v="147"/>
    <d v="2025-10-04T00:00:00"/>
    <x v="1"/>
    <n v="130011.09"/>
    <n v="99955.49"/>
    <n v="65051.62"/>
    <m/>
    <m/>
    <m/>
  </r>
  <r>
    <s v="P0093"/>
    <s v="C051"/>
    <x v="0"/>
    <s v="Project 0093"/>
    <d v="2024-12-30T00:00:00"/>
    <n v="173"/>
    <d v="2025-06-21T00:00:00"/>
    <x v="1"/>
    <n v="111182.41"/>
    <n v="66982.77"/>
    <n v="30545.65"/>
    <m/>
    <m/>
    <m/>
  </r>
  <r>
    <s v="P0094"/>
    <s v="C012"/>
    <x v="3"/>
    <s v="Project 0094"/>
    <d v="2026-04-12T00:00:00"/>
    <n v="37"/>
    <d v="2026-05-19T00:00:00"/>
    <x v="1"/>
    <n v="100893.02"/>
    <n v="69669.210000000006"/>
    <n v="38702.239999999998"/>
    <m/>
    <m/>
    <m/>
  </r>
  <r>
    <s v="P0095"/>
    <s v="C019"/>
    <x v="2"/>
    <s v="Project 0095"/>
    <d v="2024-12-07T00:00:00"/>
    <n v="161"/>
    <d v="2025-05-17T00:00:00"/>
    <x v="3"/>
    <n v="101689.01"/>
    <n v="74184.259999999995"/>
    <n v="25029.99"/>
    <m/>
    <m/>
    <m/>
  </r>
  <r>
    <s v="P0096"/>
    <s v="C044"/>
    <x v="5"/>
    <s v="Project 0096"/>
    <d v="2025-05-14T00:00:00"/>
    <n v="133"/>
    <d v="2025-09-24T00:00:00"/>
    <x v="0"/>
    <n v="59329.26"/>
    <n v="43856.27"/>
    <n v="17559.939999999999"/>
    <n v="41"/>
    <d v="2025-06-24T00:00:00"/>
    <m/>
  </r>
  <r>
    <s v="P0097"/>
    <s v="C059"/>
    <x v="5"/>
    <s v="Project 0097"/>
    <d v="2025-10-18T00:00:00"/>
    <n v="161"/>
    <d v="2026-03-28T00:00:00"/>
    <x v="2"/>
    <n v="73687.95"/>
    <n v="48185.04"/>
    <n v="43628.89"/>
    <n v="171"/>
    <d v="2026-04-07T00:00:00"/>
    <n v="0"/>
  </r>
  <r>
    <s v="P0098"/>
    <s v="C049"/>
    <x v="1"/>
    <s v="Project 0098"/>
    <d v="2025-05-25T00:00:00"/>
    <n v="54"/>
    <d v="2025-07-18T00:00:00"/>
    <x v="2"/>
    <n v="74516.05"/>
    <n v="53612.88"/>
    <n v="49405.56"/>
    <n v="64"/>
    <d v="2025-07-28T00:00:00"/>
    <n v="0"/>
  </r>
  <r>
    <s v="P0099"/>
    <s v="C061"/>
    <x v="4"/>
    <s v="Project 0099"/>
    <d v="2024-11-22T00:00:00"/>
    <n v="125"/>
    <d v="2025-03-27T00:00:00"/>
    <x v="2"/>
    <n v="190411.29"/>
    <n v="128668.6"/>
    <n v="125966.43"/>
    <n v="113"/>
    <d v="2025-03-15T00:00:00"/>
    <n v="1"/>
  </r>
  <r>
    <s v="P0100"/>
    <s v="C017"/>
    <x v="3"/>
    <s v="Project 0100"/>
    <d v="2024-08-04T00:00:00"/>
    <n v="122"/>
    <d v="2024-12-04T00:00:00"/>
    <x v="2"/>
    <n v="135714.72"/>
    <n v="93199.31"/>
    <n v="109599.52"/>
    <n v="124"/>
    <d v="2024-12-06T00:00:00"/>
    <n v="0"/>
  </r>
  <r>
    <s v="P0101"/>
    <s v="C074"/>
    <x v="2"/>
    <s v="Project 0101"/>
    <d v="2024-10-27T00:00:00"/>
    <n v="90"/>
    <d v="2025-01-25T00:00:00"/>
    <x v="1"/>
    <n v="152767.89000000001"/>
    <n v="98228.73"/>
    <n v="55410.81"/>
    <m/>
    <m/>
    <m/>
  </r>
  <r>
    <s v="P0102"/>
    <s v="C057"/>
    <x v="3"/>
    <s v="Project 0102"/>
    <d v="2024-05-11T00:00:00"/>
    <n v="151"/>
    <d v="2024-10-09T00:00:00"/>
    <x v="3"/>
    <n v="83009.31"/>
    <n v="59355.6"/>
    <n v="32421.1"/>
    <m/>
    <m/>
    <m/>
  </r>
  <r>
    <s v="P0103"/>
    <s v="C055"/>
    <x v="3"/>
    <s v="Project 0103"/>
    <d v="2026-03-14T00:00:00"/>
    <n v="80"/>
    <d v="2026-06-02T00:00:00"/>
    <x v="2"/>
    <n v="106659.08"/>
    <n v="72851.240000000005"/>
    <n v="63832.87"/>
    <n v="73"/>
    <d v="2026-05-26T00:00:00"/>
    <n v="1"/>
  </r>
  <r>
    <s v="P0104"/>
    <s v="C047"/>
    <x v="7"/>
    <s v="Project 0104"/>
    <d v="2024-03-10T00:00:00"/>
    <n v="176"/>
    <d v="2024-09-02T00:00:00"/>
    <x v="2"/>
    <n v="158847.73000000001"/>
    <n v="90495.77"/>
    <n v="82651.259999999995"/>
    <n v="211"/>
    <d v="2024-10-07T00:00:00"/>
    <n v="0"/>
  </r>
  <r>
    <s v="P0105"/>
    <s v="C012"/>
    <x v="1"/>
    <s v="Project 0105"/>
    <d v="2024-09-08T00:00:00"/>
    <n v="50"/>
    <d v="2024-10-28T00:00:00"/>
    <x v="2"/>
    <n v="68204.570000000007"/>
    <n v="43081.36"/>
    <n v="43998.55"/>
    <n v="41"/>
    <d v="2024-10-19T00:00:00"/>
    <n v="1"/>
  </r>
  <r>
    <s v="P0106"/>
    <s v="C062"/>
    <x v="2"/>
    <s v="Project 0106"/>
    <d v="2025-02-18T00:00:00"/>
    <n v="34"/>
    <d v="2025-03-24T00:00:00"/>
    <x v="1"/>
    <n v="118092"/>
    <n v="66787.039999999994"/>
    <n v="50102.18"/>
    <m/>
    <m/>
    <m/>
  </r>
  <r>
    <s v="P0107"/>
    <s v="C080"/>
    <x v="2"/>
    <s v="Project 0107"/>
    <d v="2026-02-25T00:00:00"/>
    <n v="121"/>
    <d v="2026-06-26T00:00:00"/>
    <x v="1"/>
    <n v="147200.60999999999"/>
    <n v="110756.41"/>
    <n v="74809.17"/>
    <m/>
    <m/>
    <m/>
  </r>
  <r>
    <s v="P0108"/>
    <s v="C008"/>
    <x v="3"/>
    <s v="Project 0108"/>
    <d v="2025-03-20T00:00:00"/>
    <n v="90"/>
    <d v="2025-06-18T00:00:00"/>
    <x v="2"/>
    <n v="65770.3"/>
    <n v="44235.8"/>
    <n v="42461.53"/>
    <n v="85"/>
    <d v="2025-06-13T00:00:00"/>
    <n v="1"/>
  </r>
  <r>
    <s v="P0109"/>
    <s v="C021"/>
    <x v="1"/>
    <s v="Project 0109"/>
    <d v="2026-05-25T00:00:00"/>
    <n v="51"/>
    <d v="2026-07-15T00:00:00"/>
    <x v="3"/>
    <n v="103760.96000000001"/>
    <n v="74505.52"/>
    <n v="32231.3"/>
    <m/>
    <m/>
    <m/>
  </r>
  <r>
    <s v="P0110"/>
    <s v="C080"/>
    <x v="5"/>
    <s v="Project 0110"/>
    <d v="2024-06-30T00:00:00"/>
    <n v="178"/>
    <d v="2024-12-25T00:00:00"/>
    <x v="1"/>
    <n v="99976.76"/>
    <n v="56370.17"/>
    <n v="35577.94"/>
    <m/>
    <m/>
    <m/>
  </r>
  <r>
    <s v="P0111"/>
    <s v="C070"/>
    <x v="2"/>
    <s v="Project 0111"/>
    <d v="2024-06-15T00:00:00"/>
    <n v="99"/>
    <d v="2024-09-22T00:00:00"/>
    <x v="2"/>
    <n v="109486.67"/>
    <n v="73710.850000000006"/>
    <n v="73609.31"/>
    <n v="83"/>
    <d v="2024-09-06T00:00:00"/>
    <n v="1"/>
  </r>
  <r>
    <s v="P0112"/>
    <s v="C072"/>
    <x v="5"/>
    <s v="Project 0112"/>
    <d v="2024-03-31T00:00:00"/>
    <n v="30"/>
    <d v="2024-04-30T00:00:00"/>
    <x v="1"/>
    <n v="79692.97"/>
    <n v="57691.14"/>
    <n v="30217.8"/>
    <m/>
    <m/>
    <m/>
  </r>
  <r>
    <s v="P0113"/>
    <s v="C025"/>
    <x v="1"/>
    <s v="Project 0113"/>
    <d v="2025-12-14T00:00:00"/>
    <n v="162"/>
    <d v="2026-05-25T00:00:00"/>
    <x v="1"/>
    <n v="111607.94"/>
    <n v="85184.86"/>
    <n v="39808.68"/>
    <m/>
    <m/>
    <m/>
  </r>
  <r>
    <s v="P0114"/>
    <s v="C012"/>
    <x v="5"/>
    <s v="Project 0114"/>
    <d v="2026-05-07T00:00:00"/>
    <n v="41"/>
    <d v="2026-06-17T00:00:00"/>
    <x v="2"/>
    <n v="79380.73"/>
    <n v="50949.94"/>
    <n v="59994.55"/>
    <n v="35"/>
    <d v="2026-06-11T00:00:00"/>
    <n v="1"/>
  </r>
  <r>
    <s v="P0115"/>
    <s v="C015"/>
    <x v="0"/>
    <s v="Project 0115"/>
    <d v="2025-06-14T00:00:00"/>
    <n v="119"/>
    <d v="2025-10-11T00:00:00"/>
    <x v="2"/>
    <n v="111766.52"/>
    <n v="83117.149999999994"/>
    <n v="87753.69"/>
    <n v="123"/>
    <d v="2025-10-15T00:00:00"/>
    <n v="0"/>
  </r>
  <r>
    <s v="P0116"/>
    <s v="C059"/>
    <x v="7"/>
    <s v="Project 0116"/>
    <d v="2024-02-08T00:00:00"/>
    <n v="75"/>
    <d v="2024-04-23T00:00:00"/>
    <x v="2"/>
    <n v="210891.1"/>
    <n v="120313.08"/>
    <n v="107336.77"/>
    <n v="85"/>
    <d v="2024-05-03T00:00:00"/>
    <n v="0"/>
  </r>
  <r>
    <s v="P0117"/>
    <s v="C026"/>
    <x v="6"/>
    <s v="Project 0117"/>
    <d v="2024-05-05T00:00:00"/>
    <n v="63"/>
    <d v="2024-07-07T00:00:00"/>
    <x v="2"/>
    <n v="177731.51"/>
    <n v="126724.57"/>
    <n v="120392.44"/>
    <n v="51"/>
    <d v="2024-06-25T00:00:00"/>
    <n v="1"/>
  </r>
  <r>
    <s v="P0118"/>
    <s v="C026"/>
    <x v="2"/>
    <s v="Project 0118"/>
    <d v="2025-03-26T00:00:00"/>
    <n v="107"/>
    <d v="2025-07-11T00:00:00"/>
    <x v="3"/>
    <n v="157937.79999999999"/>
    <n v="96423.53"/>
    <n v="36647.519999999997"/>
    <m/>
    <m/>
    <m/>
  </r>
  <r>
    <s v="P0119"/>
    <s v="C047"/>
    <x v="4"/>
    <s v="Project 0119"/>
    <d v="2024-06-21T00:00:00"/>
    <n v="74"/>
    <d v="2024-09-03T00:00:00"/>
    <x v="3"/>
    <n v="89405.22"/>
    <n v="57336.08"/>
    <n v="24287.64"/>
    <m/>
    <m/>
    <m/>
  </r>
  <r>
    <s v="P0120"/>
    <s v="C032"/>
    <x v="7"/>
    <s v="Project 0120"/>
    <d v="2025-10-14T00:00:00"/>
    <n v="102"/>
    <d v="2026-01-24T00:00:00"/>
    <x v="2"/>
    <n v="200116.46"/>
    <n v="137707.48000000001"/>
    <n v="158831.72"/>
    <n v="105"/>
    <d v="2026-01-27T00:00:00"/>
    <n v="0"/>
  </r>
  <r>
    <s v="P0121"/>
    <s v="C010"/>
    <x v="6"/>
    <s v="Project 0121"/>
    <d v="2026-01-23T00:00:00"/>
    <n v="55"/>
    <d v="2026-03-19T00:00:00"/>
    <x v="2"/>
    <n v="168845.96"/>
    <n v="125930"/>
    <n v="145713.15"/>
    <n v="49"/>
    <d v="2026-03-13T00:00:00"/>
    <n v="1"/>
  </r>
  <r>
    <s v="P0122"/>
    <s v="C016"/>
    <x v="5"/>
    <s v="Project 0122"/>
    <d v="2024-08-07T00:00:00"/>
    <n v="76"/>
    <d v="2024-10-22T00:00:00"/>
    <x v="2"/>
    <n v="69976.12"/>
    <n v="40359.730000000003"/>
    <n v="39375.18"/>
    <n v="88"/>
    <d v="2024-11-03T00:00:00"/>
    <n v="0"/>
  </r>
  <r>
    <s v="P0123"/>
    <s v="C071"/>
    <x v="2"/>
    <s v="Project 0123"/>
    <d v="2025-09-29T00:00:00"/>
    <n v="150"/>
    <d v="2026-02-26T00:00:00"/>
    <x v="2"/>
    <n v="157507.98000000001"/>
    <n v="97666.95"/>
    <n v="96005"/>
    <n v="125"/>
    <d v="2026-02-01T00:00:00"/>
    <n v="1"/>
  </r>
  <r>
    <s v="P0124"/>
    <s v="C017"/>
    <x v="5"/>
    <s v="Project 0124"/>
    <d v="2024-02-27T00:00:00"/>
    <n v="85"/>
    <d v="2024-05-22T00:00:00"/>
    <x v="3"/>
    <n v="79233.75"/>
    <n v="46740.83"/>
    <n v="25589.46"/>
    <m/>
    <m/>
    <m/>
  </r>
  <r>
    <s v="P0125"/>
    <s v="C023"/>
    <x v="0"/>
    <s v="Project 0125"/>
    <d v="2025-10-21T00:00:00"/>
    <n v="123"/>
    <d v="2026-02-21T00:00:00"/>
    <x v="2"/>
    <n v="110681.98"/>
    <n v="77192.23"/>
    <n v="68989.25"/>
    <n v="143"/>
    <d v="2026-03-13T00:00:00"/>
    <n v="0"/>
  </r>
  <r>
    <s v="P0126"/>
    <s v="C026"/>
    <x v="1"/>
    <s v="Project 0126"/>
    <d v="2025-04-20T00:00:00"/>
    <n v="136"/>
    <d v="2025-09-03T00:00:00"/>
    <x v="2"/>
    <n v="89819.44"/>
    <n v="67208.600000000006"/>
    <n v="67929.77"/>
    <n v="165"/>
    <d v="2025-10-02T00:00:00"/>
    <n v="0"/>
  </r>
  <r>
    <s v="P0127"/>
    <s v="C007"/>
    <x v="2"/>
    <s v="Project 0127"/>
    <d v="2025-03-31T00:00:00"/>
    <n v="92"/>
    <d v="2025-07-01T00:00:00"/>
    <x v="2"/>
    <n v="182818.39"/>
    <n v="107901.77"/>
    <n v="105911.93"/>
    <n v="94"/>
    <d v="2025-07-03T00:00:00"/>
    <n v="0"/>
  </r>
  <r>
    <s v="P0128"/>
    <s v="C014"/>
    <x v="6"/>
    <s v="Project 0128"/>
    <d v="2026-04-08T00:00:00"/>
    <n v="77"/>
    <d v="2026-06-24T00:00:00"/>
    <x v="1"/>
    <n v="179634.92"/>
    <n v="104846.8"/>
    <n v="55963.78"/>
    <m/>
    <m/>
    <m/>
  </r>
  <r>
    <s v="P0129"/>
    <s v="C079"/>
    <x v="6"/>
    <s v="Project 0129"/>
    <d v="2026-06-13T00:00:00"/>
    <n v="90"/>
    <d v="2026-09-11T00:00:00"/>
    <x v="2"/>
    <n v="177873.07"/>
    <n v="115524.03"/>
    <n v="117491.03"/>
    <n v="84"/>
    <d v="2026-09-05T00:00:00"/>
    <n v="1"/>
  </r>
  <r>
    <s v="P0130"/>
    <s v="C007"/>
    <x v="0"/>
    <s v="Project 0130"/>
    <d v="2024-12-26T00:00:00"/>
    <n v="110"/>
    <d v="2025-04-15T00:00:00"/>
    <x v="1"/>
    <n v="111306.52"/>
    <n v="72470.3"/>
    <n v="29193.38"/>
    <m/>
    <m/>
    <m/>
  </r>
  <r>
    <s v="P0131"/>
    <s v="C009"/>
    <x v="0"/>
    <s v="Project 0131"/>
    <d v="2024-01-01T00:00:00"/>
    <n v="55"/>
    <d v="2024-02-25T00:00:00"/>
    <x v="2"/>
    <n v="80725.39"/>
    <n v="55902.75"/>
    <n v="50321.88"/>
    <n v="60"/>
    <d v="2024-03-01T00:00:00"/>
    <n v="0"/>
  </r>
  <r>
    <s v="P0132"/>
    <s v="C048"/>
    <x v="3"/>
    <s v="Project 0132"/>
    <d v="2025-01-21T00:00:00"/>
    <n v="65"/>
    <d v="2025-03-27T00:00:00"/>
    <x v="1"/>
    <n v="113198.43"/>
    <n v="63856.41"/>
    <n v="47278.06"/>
    <m/>
    <m/>
    <m/>
  </r>
  <r>
    <s v="P0133"/>
    <s v="C072"/>
    <x v="2"/>
    <s v="Project 0133"/>
    <d v="2024-12-13T00:00:00"/>
    <n v="30"/>
    <d v="2025-01-12T00:00:00"/>
    <x v="1"/>
    <n v="118789.06"/>
    <n v="92515.21"/>
    <n v="35053.11"/>
    <m/>
    <m/>
    <m/>
  </r>
  <r>
    <s v="P0134"/>
    <s v="C059"/>
    <x v="5"/>
    <s v="Project 0134"/>
    <d v="2024-07-08T00:00:00"/>
    <n v="37"/>
    <d v="2024-08-14T00:00:00"/>
    <x v="2"/>
    <n v="69035.08"/>
    <n v="49005.11"/>
    <n v="45522.29"/>
    <n v="45"/>
    <d v="2024-08-22T00:00:00"/>
    <n v="0"/>
  </r>
  <r>
    <s v="P0135"/>
    <s v="C039"/>
    <x v="4"/>
    <s v="Project 0135"/>
    <d v="2025-05-19T00:00:00"/>
    <n v="142"/>
    <d v="2025-10-08T00:00:00"/>
    <x v="2"/>
    <n v="129757.71"/>
    <n v="92023.79"/>
    <n v="93690.28"/>
    <n v="117"/>
    <d v="2025-09-13T00:00:00"/>
    <n v="1"/>
  </r>
  <r>
    <s v="P0136"/>
    <s v="C018"/>
    <x v="6"/>
    <s v="Project 0136"/>
    <d v="2024-07-09T00:00:00"/>
    <n v="128"/>
    <d v="2024-11-14T00:00:00"/>
    <x v="3"/>
    <n v="149353.07"/>
    <n v="116381.93"/>
    <n v="70642.100000000006"/>
    <m/>
    <m/>
    <m/>
  </r>
  <r>
    <s v="P0137"/>
    <s v="C059"/>
    <x v="6"/>
    <s v="Project 0137"/>
    <d v="2025-05-22T00:00:00"/>
    <n v="76"/>
    <d v="2025-08-06T00:00:00"/>
    <x v="0"/>
    <n v="105992.69"/>
    <n v="73505.509999999995"/>
    <n v="21444.32"/>
    <n v="27"/>
    <d v="2025-06-18T00:00:00"/>
    <m/>
  </r>
  <r>
    <s v="P0138"/>
    <s v="C017"/>
    <x v="0"/>
    <s v="Project 0138"/>
    <d v="2025-01-03T00:00:00"/>
    <n v="156"/>
    <d v="2025-06-08T00:00:00"/>
    <x v="2"/>
    <n v="132080.93"/>
    <n v="76615.31"/>
    <n v="76494.95"/>
    <n v="187"/>
    <d v="2025-07-09T00:00:00"/>
    <n v="0"/>
  </r>
  <r>
    <s v="P0139"/>
    <s v="C014"/>
    <x v="7"/>
    <s v="Project 0139"/>
    <d v="2025-02-12T00:00:00"/>
    <n v="85"/>
    <d v="2025-05-08T00:00:00"/>
    <x v="2"/>
    <n v="159918.53"/>
    <n v="103187.4"/>
    <n v="112690.22"/>
    <n v="99"/>
    <d v="2025-05-22T00:00:00"/>
    <n v="0"/>
  </r>
  <r>
    <s v="P0140"/>
    <s v="C031"/>
    <x v="0"/>
    <s v="Project 0140"/>
    <d v="2026-04-03T00:00:00"/>
    <n v="43"/>
    <d v="2026-05-16T00:00:00"/>
    <x v="3"/>
    <n v="81660.789999999994"/>
    <n v="59362.5"/>
    <n v="12199.92"/>
    <m/>
    <m/>
    <m/>
  </r>
  <r>
    <s v="P0141"/>
    <s v="C024"/>
    <x v="4"/>
    <s v="Project 0141"/>
    <d v="2024-04-26T00:00:00"/>
    <n v="57"/>
    <d v="2024-06-22T00:00:00"/>
    <x v="1"/>
    <n v="130975.16"/>
    <n v="72614.490000000005"/>
    <n v="34848.17"/>
    <m/>
    <m/>
    <m/>
  </r>
  <r>
    <s v="P0142"/>
    <s v="C060"/>
    <x v="5"/>
    <s v="Project 0142"/>
    <d v="2024-05-13T00:00:00"/>
    <n v="107"/>
    <d v="2024-08-28T00:00:00"/>
    <x v="2"/>
    <n v="30097.95"/>
    <n v="21817"/>
    <n v="22398.47"/>
    <n v="92"/>
    <d v="2024-08-13T00:00:00"/>
    <n v="1"/>
  </r>
  <r>
    <s v="P0143"/>
    <s v="C045"/>
    <x v="5"/>
    <s v="Project 0143"/>
    <d v="2024-02-27T00:00:00"/>
    <n v="159"/>
    <d v="2024-08-04T00:00:00"/>
    <x v="3"/>
    <n v="54690.76"/>
    <n v="36972.629999999997"/>
    <n v="15794.29"/>
    <m/>
    <m/>
    <m/>
  </r>
  <r>
    <s v="P0144"/>
    <s v="C003"/>
    <x v="7"/>
    <s v="Project 0144"/>
    <d v="2025-07-09T00:00:00"/>
    <n v="138"/>
    <d v="2025-11-24T00:00:00"/>
    <x v="2"/>
    <n v="178774.82"/>
    <n v="133044.6"/>
    <n v="134524"/>
    <n v="116"/>
    <d v="2025-11-02T00:00:00"/>
    <n v="1"/>
  </r>
  <r>
    <s v="P0145"/>
    <s v="C037"/>
    <x v="6"/>
    <s v="Project 0145"/>
    <d v="2025-11-15T00:00:00"/>
    <n v="43"/>
    <d v="2025-12-28T00:00:00"/>
    <x v="1"/>
    <n v="144396.46"/>
    <n v="103906.56"/>
    <n v="61098"/>
    <m/>
    <m/>
    <m/>
  </r>
  <r>
    <s v="P0146"/>
    <s v="C043"/>
    <x v="0"/>
    <s v="Project 0146"/>
    <d v="2025-11-02T00:00:00"/>
    <n v="85"/>
    <d v="2026-01-26T00:00:00"/>
    <x v="2"/>
    <n v="88587.77"/>
    <n v="56382.07"/>
    <n v="56473.26"/>
    <n v="83"/>
    <d v="2026-01-24T00:00:00"/>
    <n v="1"/>
  </r>
  <r>
    <s v="P0147"/>
    <s v="C040"/>
    <x v="3"/>
    <s v="Project 0147"/>
    <d v="2024-06-21T00:00:00"/>
    <n v="144"/>
    <d v="2024-11-12T00:00:00"/>
    <x v="2"/>
    <n v="106267.58"/>
    <n v="81797.02"/>
    <n v="78041.25"/>
    <n v="166"/>
    <d v="2024-12-04T00:00:00"/>
    <n v="0"/>
  </r>
  <r>
    <s v="P0148"/>
    <s v="C055"/>
    <x v="5"/>
    <s v="Project 0148"/>
    <d v="2026-04-08T00:00:00"/>
    <n v="36"/>
    <d v="2026-05-14T00:00:00"/>
    <x v="2"/>
    <n v="73189.25"/>
    <n v="51837.82"/>
    <n v="48418.66"/>
    <n v="35"/>
    <d v="2026-05-13T00:00:00"/>
    <n v="1"/>
  </r>
  <r>
    <s v="P0149"/>
    <s v="C039"/>
    <x v="4"/>
    <s v="Project 0149"/>
    <d v="2026-03-25T00:00:00"/>
    <n v="32"/>
    <d v="2026-04-26T00:00:00"/>
    <x v="1"/>
    <n v="147084.69"/>
    <n v="102452.77"/>
    <n v="69634.789999999994"/>
    <m/>
    <m/>
    <m/>
  </r>
  <r>
    <s v="P0150"/>
    <s v="C015"/>
    <x v="2"/>
    <s v="Project 0150"/>
    <d v="2024-05-28T00:00:00"/>
    <n v="140"/>
    <d v="2024-10-15T00:00:00"/>
    <x v="2"/>
    <n v="168377.57"/>
    <n v="127272.74"/>
    <n v="133967.04999999999"/>
    <n v="152"/>
    <d v="2024-10-27T00:00:00"/>
    <n v="0"/>
  </r>
  <r>
    <s v="P0151"/>
    <s v="C004"/>
    <x v="1"/>
    <s v="Project 0151"/>
    <d v="2024-03-20T00:00:00"/>
    <n v="180"/>
    <d v="2024-09-16T00:00:00"/>
    <x v="2"/>
    <n v="90633.68"/>
    <n v="52978.91"/>
    <n v="53987.27"/>
    <n v="203"/>
    <d v="2024-10-09T00:00:00"/>
    <n v="0"/>
  </r>
  <r>
    <s v="P0152"/>
    <s v="C025"/>
    <x v="1"/>
    <s v="Project 0152"/>
    <d v="2026-06-04T00:00:00"/>
    <n v="136"/>
    <d v="2026-10-18T00:00:00"/>
    <x v="2"/>
    <n v="75082.33"/>
    <n v="53042.09"/>
    <n v="46569.97"/>
    <n v="111"/>
    <d v="2026-09-23T00:00:00"/>
    <n v="1"/>
  </r>
  <r>
    <s v="P0153"/>
    <s v="C013"/>
    <x v="1"/>
    <s v="Project 0153"/>
    <d v="2024-07-31T00:00:00"/>
    <n v="47"/>
    <d v="2024-09-16T00:00:00"/>
    <x v="2"/>
    <n v="82766.63"/>
    <n v="46878.11"/>
    <n v="54643.26"/>
    <n v="37"/>
    <d v="2024-09-06T00:00:00"/>
    <n v="1"/>
  </r>
  <r>
    <s v="P0154"/>
    <s v="C033"/>
    <x v="3"/>
    <s v="Project 0154"/>
    <d v="2024-07-21T00:00:00"/>
    <n v="67"/>
    <d v="2024-09-26T00:00:00"/>
    <x v="0"/>
    <n v="104062.97"/>
    <n v="74886.509999999995"/>
    <n v="17481.580000000002"/>
    <n v="18"/>
    <d v="2024-08-08T00:00:00"/>
    <m/>
  </r>
  <r>
    <s v="P0155"/>
    <s v="C016"/>
    <x v="6"/>
    <s v="Project 0155"/>
    <d v="2026-02-02T00:00:00"/>
    <n v="144"/>
    <d v="2026-06-26T00:00:00"/>
    <x v="2"/>
    <n v="202254.57"/>
    <n v="142006.01999999999"/>
    <n v="128864.22"/>
    <n v="127"/>
    <d v="2026-06-09T00:00:00"/>
    <n v="1"/>
  </r>
  <r>
    <s v="P0156"/>
    <s v="C042"/>
    <x v="0"/>
    <s v="Project 0156"/>
    <d v="2024-08-16T00:00:00"/>
    <n v="44"/>
    <d v="2024-09-29T00:00:00"/>
    <x v="1"/>
    <n v="94103.16"/>
    <n v="53886.39"/>
    <n v="36650.9"/>
    <m/>
    <m/>
    <m/>
  </r>
  <r>
    <s v="P0157"/>
    <s v="C066"/>
    <x v="7"/>
    <s v="Project 0157"/>
    <d v="2025-11-06T00:00:00"/>
    <n v="148"/>
    <d v="2026-04-03T00:00:00"/>
    <x v="3"/>
    <n v="149044.18"/>
    <n v="82692.3"/>
    <n v="19935.939999999999"/>
    <m/>
    <m/>
    <m/>
  </r>
  <r>
    <s v="P0158"/>
    <s v="C055"/>
    <x v="3"/>
    <s v="Project 0158"/>
    <d v="2024-08-14T00:00:00"/>
    <n v="57"/>
    <d v="2024-10-10T00:00:00"/>
    <x v="1"/>
    <n v="119351.03999999999"/>
    <n v="92211.54"/>
    <n v="45895.75"/>
    <m/>
    <m/>
    <m/>
  </r>
  <r>
    <s v="P0159"/>
    <s v="C042"/>
    <x v="3"/>
    <s v="Project 0159"/>
    <d v="2025-10-20T00:00:00"/>
    <n v="68"/>
    <d v="2025-12-27T00:00:00"/>
    <x v="2"/>
    <n v="113356.88"/>
    <n v="72304.25"/>
    <n v="64354.94"/>
    <n v="60"/>
    <d v="2025-12-19T00:00:00"/>
    <n v="1"/>
  </r>
  <r>
    <s v="P0160"/>
    <s v="C034"/>
    <x v="5"/>
    <s v="Project 0160"/>
    <d v="2025-06-15T00:00:00"/>
    <n v="46"/>
    <d v="2025-07-31T00:00:00"/>
    <x v="2"/>
    <n v="90191.85"/>
    <n v="62363.42"/>
    <n v="66260.41"/>
    <n v="52"/>
    <d v="2025-08-06T00:00:00"/>
    <n v="0"/>
  </r>
  <r>
    <s v="P0161"/>
    <s v="C030"/>
    <x v="2"/>
    <s v="Project 0161"/>
    <d v="2025-03-16T00:00:00"/>
    <n v="115"/>
    <d v="2025-07-09T00:00:00"/>
    <x v="2"/>
    <n v="122032.57"/>
    <n v="94300.97"/>
    <n v="89268.24"/>
    <n v="133"/>
    <d v="2025-07-27T00:00:00"/>
    <n v="0"/>
  </r>
  <r>
    <s v="P0162"/>
    <s v="C013"/>
    <x v="3"/>
    <s v="Project 0162"/>
    <d v="2025-02-05T00:00:00"/>
    <n v="155"/>
    <d v="2025-07-10T00:00:00"/>
    <x v="2"/>
    <n v="100849.02"/>
    <n v="78197.64"/>
    <n v="81497.539999999994"/>
    <n v="165"/>
    <d v="2025-07-20T00:00:00"/>
    <n v="0"/>
  </r>
  <r>
    <s v="P0163"/>
    <s v="C013"/>
    <x v="4"/>
    <s v="Project 0163"/>
    <d v="2024-02-16T00:00:00"/>
    <n v="73"/>
    <d v="2024-04-29T00:00:00"/>
    <x v="2"/>
    <n v="174611.44"/>
    <n v="122400.89"/>
    <n v="117704.16"/>
    <n v="62"/>
    <d v="2024-04-18T00:00:00"/>
    <n v="1"/>
  </r>
  <r>
    <s v="P0164"/>
    <s v="C018"/>
    <x v="2"/>
    <s v="Project 0164"/>
    <d v="2024-08-20T00:00:00"/>
    <n v="54"/>
    <d v="2024-10-13T00:00:00"/>
    <x v="1"/>
    <n v="158277.62"/>
    <n v="120838.51"/>
    <n v="55864.59"/>
    <m/>
    <m/>
    <m/>
  </r>
  <r>
    <s v="P0165"/>
    <s v="C032"/>
    <x v="4"/>
    <s v="Project 0165"/>
    <d v="2024-10-31T00:00:00"/>
    <n v="174"/>
    <d v="2025-04-23T00:00:00"/>
    <x v="2"/>
    <n v="115521.3"/>
    <n v="75211.66"/>
    <n v="87336.91"/>
    <n v="187"/>
    <d v="2025-05-06T00:00:00"/>
    <n v="0"/>
  </r>
  <r>
    <s v="P0166"/>
    <s v="C039"/>
    <x v="6"/>
    <s v="Project 0166"/>
    <d v="2025-06-09T00:00:00"/>
    <n v="42"/>
    <d v="2025-07-21T00:00:00"/>
    <x v="2"/>
    <n v="90784.25"/>
    <n v="54957.09"/>
    <n v="50294.82"/>
    <n v="35"/>
    <d v="2025-07-14T00:00:00"/>
    <n v="1"/>
  </r>
  <r>
    <s v="P0167"/>
    <s v="C046"/>
    <x v="0"/>
    <s v="Project 0167"/>
    <d v="2024-05-22T00:00:00"/>
    <n v="54"/>
    <d v="2024-07-15T00:00:00"/>
    <x v="1"/>
    <n v="117439.24"/>
    <n v="72314.22"/>
    <n v="54812.26"/>
    <m/>
    <m/>
    <m/>
  </r>
  <r>
    <s v="P0168"/>
    <s v="C029"/>
    <x v="1"/>
    <s v="Project 0168"/>
    <d v="2025-02-18T00:00:00"/>
    <n v="97"/>
    <d v="2025-05-26T00:00:00"/>
    <x v="2"/>
    <n v="106151.6"/>
    <n v="79413.61"/>
    <n v="91583.41"/>
    <n v="114"/>
    <d v="2025-06-12T00:00:00"/>
    <n v="0"/>
  </r>
  <r>
    <s v="P0169"/>
    <s v="C062"/>
    <x v="3"/>
    <s v="Project 0169"/>
    <d v="2025-05-27T00:00:00"/>
    <n v="167"/>
    <d v="2025-11-10T00:00:00"/>
    <x v="3"/>
    <n v="118426.38"/>
    <n v="77678.710000000006"/>
    <n v="48238.43"/>
    <m/>
    <m/>
    <m/>
  </r>
  <r>
    <s v="P0170"/>
    <s v="C062"/>
    <x v="0"/>
    <s v="Project 0170"/>
    <d v="2025-01-07T00:00:00"/>
    <n v="96"/>
    <d v="2025-04-13T00:00:00"/>
    <x v="1"/>
    <n v="90309.78"/>
    <n v="64802.04"/>
    <n v="47838.400000000001"/>
    <m/>
    <m/>
    <m/>
  </r>
  <r>
    <s v="P0171"/>
    <s v="C057"/>
    <x v="6"/>
    <s v="Project 0171"/>
    <d v="2025-07-19T00:00:00"/>
    <n v="138"/>
    <d v="2025-12-04T00:00:00"/>
    <x v="2"/>
    <n v="123434.18"/>
    <n v="83362.03"/>
    <n v="96644.78"/>
    <n v="171"/>
    <d v="2026-01-06T00:00:00"/>
    <n v="0"/>
  </r>
  <r>
    <s v="P0172"/>
    <s v="C016"/>
    <x v="7"/>
    <s v="Project 0172"/>
    <d v="2026-06-04T00:00:00"/>
    <n v="175"/>
    <d v="2026-11-26T00:00:00"/>
    <x v="1"/>
    <n v="199914.86"/>
    <n v="111938.32"/>
    <n v="48402.96"/>
    <m/>
    <m/>
    <m/>
  </r>
  <r>
    <s v="P0173"/>
    <s v="C056"/>
    <x v="7"/>
    <s v="Project 0173"/>
    <d v="2024-09-15T00:00:00"/>
    <n v="140"/>
    <d v="2025-02-02T00:00:00"/>
    <x v="1"/>
    <n v="195827.64"/>
    <n v="144538.54999999999"/>
    <n v="66018.8"/>
    <m/>
    <m/>
    <m/>
  </r>
  <r>
    <s v="P0174"/>
    <s v="C010"/>
    <x v="6"/>
    <s v="Project 0174"/>
    <d v="2025-10-17T00:00:00"/>
    <n v="140"/>
    <d v="2026-03-06T00:00:00"/>
    <x v="1"/>
    <n v="137072.24"/>
    <n v="91337.55"/>
    <n v="70362.02"/>
    <m/>
    <m/>
    <m/>
  </r>
  <r>
    <s v="P0175"/>
    <s v="C030"/>
    <x v="4"/>
    <s v="Project 0175"/>
    <d v="2025-04-15T00:00:00"/>
    <n v="63"/>
    <d v="2025-06-17T00:00:00"/>
    <x v="2"/>
    <n v="160191.49"/>
    <n v="109856.11"/>
    <n v="104164.58"/>
    <n v="64"/>
    <d v="2025-06-18T00:00:00"/>
    <n v="0"/>
  </r>
  <r>
    <s v="P0176"/>
    <s v="C025"/>
    <x v="5"/>
    <s v="Project 0176"/>
    <d v="2024-01-12T00:00:00"/>
    <n v="140"/>
    <d v="2024-05-31T00:00:00"/>
    <x v="2"/>
    <n v="96214.11"/>
    <n v="65421.27"/>
    <n v="74462.27"/>
    <n v="155"/>
    <d v="2024-06-15T00:00:00"/>
    <n v="0"/>
  </r>
  <r>
    <s v="P0177"/>
    <s v="C005"/>
    <x v="5"/>
    <s v="Project 0177"/>
    <d v="2024-11-25T00:00:00"/>
    <n v="37"/>
    <d v="2025-01-01T00:00:00"/>
    <x v="1"/>
    <n v="89862.19"/>
    <n v="52732.62"/>
    <n v="30625.98"/>
    <m/>
    <m/>
    <m/>
  </r>
  <r>
    <s v="P0178"/>
    <s v="C065"/>
    <x v="4"/>
    <s v="Project 0178"/>
    <d v="2026-01-05T00:00:00"/>
    <n v="142"/>
    <d v="2026-05-27T00:00:00"/>
    <x v="2"/>
    <n v="172214.98"/>
    <n v="95087.86"/>
    <n v="103620.32"/>
    <n v="129"/>
    <d v="2026-05-14T00:00:00"/>
    <n v="1"/>
  </r>
  <r>
    <s v="P0179"/>
    <s v="C049"/>
    <x v="7"/>
    <s v="Project 0179"/>
    <d v="2026-02-22T00:00:00"/>
    <n v="112"/>
    <d v="2026-06-14T00:00:00"/>
    <x v="2"/>
    <n v="231004.11"/>
    <n v="137892.85999999999"/>
    <n v="150567.07999999999"/>
    <n v="117"/>
    <d v="2026-06-19T00:00:00"/>
    <n v="0"/>
  </r>
  <r>
    <s v="P0180"/>
    <s v="C003"/>
    <x v="7"/>
    <s v="Project 0180"/>
    <d v="2024-12-23T00:00:00"/>
    <n v="71"/>
    <d v="2025-03-04T00:00:00"/>
    <x v="2"/>
    <n v="163256.65"/>
    <n v="112920.81"/>
    <n v="109225.69"/>
    <n v="62"/>
    <d v="2025-02-23T00:00:00"/>
    <n v="1"/>
  </r>
  <r>
    <s v="P0181"/>
    <s v="C045"/>
    <x v="3"/>
    <s v="Project 0181"/>
    <d v="2025-02-11T00:00:00"/>
    <n v="130"/>
    <d v="2025-06-21T00:00:00"/>
    <x v="1"/>
    <n v="106115.63"/>
    <n v="58491.23"/>
    <n v="42727.57"/>
    <m/>
    <m/>
    <m/>
  </r>
  <r>
    <s v="P0182"/>
    <s v="C014"/>
    <x v="7"/>
    <s v="Project 0182"/>
    <d v="2025-10-29T00:00:00"/>
    <n v="35"/>
    <d v="2025-12-03T00:00:00"/>
    <x v="2"/>
    <n v="237610.5"/>
    <n v="132615.56"/>
    <n v="121584.41"/>
    <n v="39"/>
    <d v="2025-12-07T00:00:00"/>
    <n v="0"/>
  </r>
  <r>
    <s v="P0183"/>
    <s v="C030"/>
    <x v="0"/>
    <s v="Project 0183"/>
    <d v="2025-01-07T00:00:00"/>
    <n v="55"/>
    <d v="2025-03-03T00:00:00"/>
    <x v="3"/>
    <n v="107073.05"/>
    <n v="66941.460000000006"/>
    <n v="18371.68"/>
    <m/>
    <m/>
    <m/>
  </r>
  <r>
    <s v="P0184"/>
    <s v="C068"/>
    <x v="7"/>
    <s v="Project 0184"/>
    <d v="2024-01-08T00:00:00"/>
    <n v="93"/>
    <d v="2024-04-10T00:00:00"/>
    <x v="1"/>
    <n v="196613.48"/>
    <n v="121957.18"/>
    <n v="96141.94"/>
    <m/>
    <m/>
    <m/>
  </r>
  <r>
    <s v="P0185"/>
    <s v="C018"/>
    <x v="2"/>
    <s v="Project 0185"/>
    <d v="2024-05-01T00:00:00"/>
    <n v="88"/>
    <d v="2024-07-28T00:00:00"/>
    <x v="1"/>
    <n v="193190.49"/>
    <n v="145631.82"/>
    <n v="94154.2"/>
    <m/>
    <m/>
    <m/>
  </r>
  <r>
    <s v="P0186"/>
    <s v="C062"/>
    <x v="3"/>
    <s v="Project 0186"/>
    <d v="2024-12-13T00:00:00"/>
    <n v="138"/>
    <d v="2025-04-30T00:00:00"/>
    <x v="0"/>
    <n v="91208"/>
    <n v="58377.77"/>
    <n v="24111.66"/>
    <n v="42"/>
    <d v="2025-01-24T00:00:00"/>
    <m/>
  </r>
  <r>
    <s v="P0187"/>
    <s v="C037"/>
    <x v="1"/>
    <s v="Project 0187"/>
    <d v="2025-11-06T00:00:00"/>
    <n v="150"/>
    <d v="2026-04-05T00:00:00"/>
    <x v="3"/>
    <n v="113097.66"/>
    <n v="64622.63"/>
    <n v="31930.11"/>
    <m/>
    <m/>
    <m/>
  </r>
  <r>
    <s v="P0188"/>
    <s v="C025"/>
    <x v="7"/>
    <s v="Project 0188"/>
    <d v="2024-03-30T00:00:00"/>
    <n v="62"/>
    <d v="2024-05-31T00:00:00"/>
    <x v="3"/>
    <n v="157309.29"/>
    <n v="103922.25"/>
    <n v="54160.41"/>
    <m/>
    <m/>
    <m/>
  </r>
  <r>
    <s v="P0189"/>
    <s v="C048"/>
    <x v="4"/>
    <s v="Project 0189"/>
    <d v="2025-10-09T00:00:00"/>
    <n v="179"/>
    <d v="2026-04-06T00:00:00"/>
    <x v="2"/>
    <n v="154172.82"/>
    <n v="104705.15"/>
    <n v="109851.51"/>
    <n v="188"/>
    <d v="2026-04-15T00:00:00"/>
    <n v="0"/>
  </r>
  <r>
    <s v="P0190"/>
    <s v="C065"/>
    <x v="1"/>
    <s v="Project 0190"/>
    <d v="2025-11-28T00:00:00"/>
    <n v="50"/>
    <d v="2026-01-17T00:00:00"/>
    <x v="1"/>
    <n v="76378.84"/>
    <n v="53891.96"/>
    <n v="40553.410000000003"/>
    <m/>
    <m/>
    <m/>
  </r>
  <r>
    <s v="P0191"/>
    <s v="C053"/>
    <x v="0"/>
    <s v="Project 0191"/>
    <d v="2024-11-11T00:00:00"/>
    <n v="99"/>
    <d v="2025-02-18T00:00:00"/>
    <x v="2"/>
    <n v="128836.34"/>
    <n v="85624.48"/>
    <n v="74435.22"/>
    <n v="82"/>
    <d v="2025-02-01T00:00:00"/>
    <n v="1"/>
  </r>
  <r>
    <s v="P0192"/>
    <s v="C079"/>
    <x v="4"/>
    <s v="Project 0192"/>
    <d v="2024-06-26T00:00:00"/>
    <n v="141"/>
    <d v="2024-11-14T00:00:00"/>
    <x v="2"/>
    <n v="131810.87"/>
    <n v="82628.92"/>
    <n v="89531.3"/>
    <n v="162"/>
    <d v="2024-12-05T00:00:00"/>
    <n v="0"/>
  </r>
  <r>
    <s v="P0193"/>
    <s v="C073"/>
    <x v="1"/>
    <s v="Project 0193"/>
    <d v="2025-06-23T00:00:00"/>
    <n v="33"/>
    <d v="2025-07-26T00:00:00"/>
    <x v="2"/>
    <n v="91750.46"/>
    <n v="59752.1"/>
    <n v="57260.65"/>
    <n v="28"/>
    <d v="2025-07-21T00:00:00"/>
    <n v="1"/>
  </r>
  <r>
    <s v="P0194"/>
    <s v="C015"/>
    <x v="4"/>
    <s v="Project 0194"/>
    <d v="2026-01-01T00:00:00"/>
    <n v="123"/>
    <d v="2026-05-04T00:00:00"/>
    <x v="1"/>
    <n v="198758.49"/>
    <n v="129158.13"/>
    <n v="50927.08"/>
    <m/>
    <m/>
    <m/>
  </r>
  <r>
    <s v="P0195"/>
    <s v="C049"/>
    <x v="0"/>
    <s v="Project 0195"/>
    <d v="2026-05-18T00:00:00"/>
    <n v="104"/>
    <d v="2026-08-30T00:00:00"/>
    <x v="2"/>
    <n v="121617.44"/>
    <n v="87467.57"/>
    <n v="101281.1"/>
    <n v="129"/>
    <d v="2026-09-24T00:00:00"/>
    <n v="0"/>
  </r>
  <r>
    <s v="P0196"/>
    <s v="C068"/>
    <x v="3"/>
    <s v="Project 0196"/>
    <d v="2024-02-10T00:00:00"/>
    <n v="91"/>
    <d v="2024-05-11T00:00:00"/>
    <x v="1"/>
    <n v="69959.839999999997"/>
    <n v="48817.27"/>
    <n v="27368.14"/>
    <m/>
    <m/>
    <m/>
  </r>
  <r>
    <s v="P0197"/>
    <s v="C012"/>
    <x v="2"/>
    <s v="Project 0197"/>
    <d v="2026-01-09T00:00:00"/>
    <n v="123"/>
    <d v="2026-05-12T00:00:00"/>
    <x v="3"/>
    <n v="177607.84"/>
    <n v="102518.32"/>
    <n v="41515.040000000001"/>
    <m/>
    <m/>
    <m/>
  </r>
  <r>
    <s v="P0198"/>
    <s v="C059"/>
    <x v="0"/>
    <s v="Project 0198"/>
    <d v="2025-12-04T00:00:00"/>
    <n v="124"/>
    <d v="2026-04-07T00:00:00"/>
    <x v="1"/>
    <n v="124086.76"/>
    <n v="92215.64"/>
    <n v="49973.17"/>
    <m/>
    <m/>
    <m/>
  </r>
  <r>
    <s v="P0199"/>
    <s v="C037"/>
    <x v="0"/>
    <s v="Project 0199"/>
    <d v="2025-05-16T00:00:00"/>
    <n v="84"/>
    <d v="2025-08-08T00:00:00"/>
    <x v="1"/>
    <n v="155606.99"/>
    <n v="92186.18"/>
    <n v="48961.71"/>
    <m/>
    <m/>
    <m/>
  </r>
  <r>
    <s v="P0200"/>
    <s v="C061"/>
    <x v="4"/>
    <s v="Project 0200"/>
    <d v="2024-05-24T00:00:00"/>
    <n v="166"/>
    <d v="2024-11-06T00:00:00"/>
    <x v="1"/>
    <n v="200927.04"/>
    <n v="125968.71"/>
    <n v="45739.03"/>
    <m/>
    <m/>
    <m/>
  </r>
  <r>
    <s v="P0201"/>
    <s v="C043"/>
    <x v="3"/>
    <s v="Project 0201"/>
    <d v="2024-07-19T00:00:00"/>
    <n v="160"/>
    <d v="2024-12-26T00:00:00"/>
    <x v="0"/>
    <n v="103099.5"/>
    <n v="63788.37"/>
    <n v="13821.89"/>
    <n v="91"/>
    <d v="2024-10-18T00:00:00"/>
    <m/>
  </r>
  <r>
    <s v="P0202"/>
    <s v="C070"/>
    <x v="6"/>
    <s v="Project 0202"/>
    <d v="2025-12-24T00:00:00"/>
    <n v="60"/>
    <d v="2026-02-22T00:00:00"/>
    <x v="1"/>
    <n v="97750.93"/>
    <n v="63422.87"/>
    <n v="49873.53"/>
    <m/>
    <m/>
    <m/>
  </r>
  <r>
    <s v="P0203"/>
    <s v="C039"/>
    <x v="5"/>
    <s v="Project 0203"/>
    <d v="2025-04-05T00:00:00"/>
    <n v="69"/>
    <d v="2025-06-13T00:00:00"/>
    <x v="1"/>
    <n v="64320.01"/>
    <n v="47249.99"/>
    <n v="27362.16"/>
    <m/>
    <m/>
    <m/>
  </r>
  <r>
    <s v="P0204"/>
    <s v="C056"/>
    <x v="7"/>
    <s v="Project 0204"/>
    <d v="2026-01-01T00:00:00"/>
    <n v="65"/>
    <d v="2026-03-07T00:00:00"/>
    <x v="0"/>
    <n v="195910.14"/>
    <n v="129512.83"/>
    <n v="17648.8"/>
    <n v="10"/>
    <d v="2026-01-11T00:00:00"/>
    <m/>
  </r>
  <r>
    <s v="P0205"/>
    <s v="C063"/>
    <x v="7"/>
    <s v="Project 0205"/>
    <d v="2026-01-21T00:00:00"/>
    <n v="35"/>
    <d v="2026-02-25T00:00:00"/>
    <x v="0"/>
    <n v="178910.41"/>
    <n v="116376.87"/>
    <n v="51727.28"/>
    <n v="16"/>
    <d v="2026-02-06T00:00:00"/>
    <m/>
  </r>
  <r>
    <s v="P0206"/>
    <s v="C046"/>
    <x v="2"/>
    <s v="Project 0206"/>
    <d v="2026-06-27T00:00:00"/>
    <n v="95"/>
    <d v="2026-09-30T00:00:00"/>
    <x v="2"/>
    <n v="194585.35"/>
    <n v="114133.82"/>
    <n v="102111.74"/>
    <n v="102"/>
    <d v="2026-10-07T00:00:00"/>
    <n v="0"/>
  </r>
  <r>
    <s v="P0207"/>
    <s v="C011"/>
    <x v="2"/>
    <s v="Project 0207"/>
    <d v="2025-07-11T00:00:00"/>
    <n v="104"/>
    <d v="2025-10-23T00:00:00"/>
    <x v="2"/>
    <n v="163595.26999999999"/>
    <n v="125971.85"/>
    <n v="109447.88"/>
    <n v="86"/>
    <d v="2025-10-05T00:00:00"/>
    <n v="1"/>
  </r>
  <r>
    <s v="P0208"/>
    <s v="C062"/>
    <x v="7"/>
    <s v="Project 0208"/>
    <d v="2025-06-30T00:00:00"/>
    <n v="33"/>
    <d v="2025-08-02T00:00:00"/>
    <x v="2"/>
    <n v="228586.56"/>
    <n v="140558.57"/>
    <n v="130930.73"/>
    <n v="30"/>
    <d v="2025-07-30T00:00:00"/>
    <n v="1"/>
  </r>
  <r>
    <s v="P0209"/>
    <s v="C077"/>
    <x v="5"/>
    <s v="Project 0209"/>
    <d v="2024-09-09T00:00:00"/>
    <n v="108"/>
    <d v="2024-12-26T00:00:00"/>
    <x v="2"/>
    <n v="66512.23"/>
    <n v="40741.96"/>
    <n v="40677.35"/>
    <n v="123"/>
    <d v="2025-01-10T00:00:00"/>
    <n v="0"/>
  </r>
  <r>
    <s v="P0210"/>
    <s v="C025"/>
    <x v="7"/>
    <s v="Project 0210"/>
    <d v="2025-01-24T00:00:00"/>
    <n v="163"/>
    <d v="2025-07-06T00:00:00"/>
    <x v="1"/>
    <n v="194547.67"/>
    <n v="141755.88"/>
    <n v="54247.58"/>
    <m/>
    <m/>
    <m/>
  </r>
  <r>
    <s v="P0211"/>
    <s v="C071"/>
    <x v="6"/>
    <s v="Project 0211"/>
    <d v="2025-08-16T00:00:00"/>
    <n v="147"/>
    <d v="2026-01-10T00:00:00"/>
    <x v="1"/>
    <n v="141482.04999999999"/>
    <n v="79853.919999999998"/>
    <n v="64140.160000000003"/>
    <m/>
    <m/>
    <m/>
  </r>
  <r>
    <s v="P0212"/>
    <s v="C052"/>
    <x v="5"/>
    <s v="Project 0212"/>
    <d v="2026-06-01T00:00:00"/>
    <n v="142"/>
    <d v="2026-10-21T00:00:00"/>
    <x v="3"/>
    <n v="69784.100000000006"/>
    <n v="40616.19"/>
    <n v="18935.689999999999"/>
    <m/>
    <m/>
    <m/>
  </r>
  <r>
    <s v="P0213"/>
    <s v="C004"/>
    <x v="2"/>
    <s v="Project 0213"/>
    <d v="2024-09-12T00:00:00"/>
    <n v="123"/>
    <d v="2025-01-13T00:00:00"/>
    <x v="2"/>
    <n v="85704.76"/>
    <n v="64875.22"/>
    <n v="69354.89"/>
    <n v="99"/>
    <d v="2024-12-20T00:00:00"/>
    <n v="1"/>
  </r>
  <r>
    <s v="P0214"/>
    <s v="C059"/>
    <x v="1"/>
    <s v="Project 0214"/>
    <d v="2025-12-09T00:00:00"/>
    <n v="91"/>
    <d v="2026-03-10T00:00:00"/>
    <x v="3"/>
    <n v="69672.509999999995"/>
    <n v="53757.97"/>
    <n v="25808.35"/>
    <m/>
    <m/>
    <m/>
  </r>
  <r>
    <s v="P0215"/>
    <s v="C072"/>
    <x v="4"/>
    <s v="Project 0215"/>
    <d v="2026-03-25T00:00:00"/>
    <n v="108"/>
    <d v="2026-07-11T00:00:00"/>
    <x v="1"/>
    <n v="98435.99"/>
    <n v="70685.78"/>
    <n v="59421.9"/>
    <m/>
    <m/>
    <m/>
  </r>
  <r>
    <s v="P0216"/>
    <s v="C020"/>
    <x v="6"/>
    <s v="Project 0216"/>
    <d v="2025-03-25T00:00:00"/>
    <n v="165"/>
    <d v="2025-09-06T00:00:00"/>
    <x v="1"/>
    <n v="141377.35"/>
    <n v="86099.07"/>
    <n v="58296.59"/>
    <m/>
    <m/>
    <m/>
  </r>
  <r>
    <s v="P0217"/>
    <s v="C063"/>
    <x v="6"/>
    <s v="Project 0217"/>
    <d v="2024-01-10T00:00:00"/>
    <n v="55"/>
    <d v="2024-03-05T00:00:00"/>
    <x v="3"/>
    <n v="170333.24"/>
    <n v="111858.6"/>
    <n v="76735.3"/>
    <m/>
    <m/>
    <m/>
  </r>
  <r>
    <s v="P0218"/>
    <s v="C054"/>
    <x v="3"/>
    <s v="Project 0218"/>
    <d v="2026-04-03T00:00:00"/>
    <n v="73"/>
    <d v="2026-06-15T00:00:00"/>
    <x v="1"/>
    <n v="70155.199999999997"/>
    <n v="48404.37"/>
    <n v="25400.35"/>
    <m/>
    <m/>
    <m/>
  </r>
  <r>
    <s v="P0219"/>
    <s v="C074"/>
    <x v="2"/>
    <s v="Project 0219"/>
    <d v="2026-03-08T00:00:00"/>
    <n v="162"/>
    <d v="2026-08-17T00:00:00"/>
    <x v="2"/>
    <n v="117374.58"/>
    <n v="87519.38"/>
    <n v="89507.73"/>
    <n v="170"/>
    <d v="2026-08-25T00:00:00"/>
    <n v="0"/>
  </r>
  <r>
    <s v="P0220"/>
    <s v="C057"/>
    <x v="2"/>
    <s v="Project 0220"/>
    <d v="2024-08-29T00:00:00"/>
    <n v="99"/>
    <d v="2024-12-06T00:00:00"/>
    <x v="3"/>
    <n v="115044.22"/>
    <n v="66311.13"/>
    <n v="41780.639999999999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9">
  <r>
    <s v="A00001"/>
    <s v="P0001"/>
    <x v="0"/>
    <n v="19.5"/>
    <n v="87"/>
    <n v="75"/>
  </r>
  <r>
    <s v="A00002"/>
    <s v="P0001"/>
    <x v="1"/>
    <n v="22.9"/>
    <n v="172"/>
    <n v="115"/>
  </r>
  <r>
    <s v="A00003"/>
    <s v="P0001"/>
    <x v="2"/>
    <n v="26.4"/>
    <n v="84"/>
    <n v="180"/>
  </r>
  <r>
    <s v="A00004"/>
    <s v="P0001"/>
    <x v="3"/>
    <n v="31.2"/>
    <n v="131"/>
    <n v="93"/>
  </r>
  <r>
    <s v="A00005"/>
    <s v="P0002"/>
    <x v="4"/>
    <n v="35.799999999999997"/>
    <n v="169"/>
    <n v="68"/>
  </r>
  <r>
    <s v="A00006"/>
    <s v="P0002"/>
    <x v="5"/>
    <n v="21.1"/>
    <n v="91"/>
    <n v="61"/>
  </r>
  <r>
    <s v="A00007"/>
    <s v="P0002"/>
    <x v="6"/>
    <n v="43.1"/>
    <n v="70"/>
    <n v="95"/>
  </r>
  <r>
    <s v="A00008"/>
    <s v="P0003"/>
    <x v="7"/>
    <n v="27.8"/>
    <n v="92"/>
    <n v="83"/>
  </r>
  <r>
    <s v="A00009"/>
    <s v="P0003"/>
    <x v="8"/>
    <n v="30.2"/>
    <n v="100"/>
    <n v="100"/>
  </r>
  <r>
    <s v="A00010"/>
    <s v="P0003"/>
    <x v="9"/>
    <n v="42"/>
    <n v="106"/>
    <n v="131"/>
  </r>
  <r>
    <s v="A00011"/>
    <s v="P0004"/>
    <x v="10"/>
    <n v="17.600000000000001"/>
    <n v="97"/>
    <n v="149"/>
  </r>
  <r>
    <s v="A00012"/>
    <s v="P0004"/>
    <x v="11"/>
    <n v="22.2"/>
    <n v="176"/>
    <n v="121"/>
  </r>
  <r>
    <s v="A00013"/>
    <s v="P0004"/>
    <x v="12"/>
    <n v="31.9"/>
    <n v="121"/>
    <n v="84"/>
  </r>
  <r>
    <s v="A00014"/>
    <s v="P0004"/>
    <x v="13"/>
    <n v="28.4"/>
    <n v="78"/>
    <n v="79"/>
  </r>
  <r>
    <s v="A00015"/>
    <s v="P0005"/>
    <x v="14"/>
    <n v="19.600000000000001"/>
    <n v="75"/>
    <n v="111"/>
  </r>
  <r>
    <s v="A00016"/>
    <s v="P0005"/>
    <x v="15"/>
    <n v="17.8"/>
    <n v="172"/>
    <n v="61"/>
  </r>
  <r>
    <s v="A00017"/>
    <s v="P0005"/>
    <x v="16"/>
    <n v="29.2"/>
    <n v="94"/>
    <n v="60"/>
  </r>
  <r>
    <s v="A00018"/>
    <s v="P0005"/>
    <x v="17"/>
    <n v="33.299999999999997"/>
    <n v="123"/>
    <n v="99"/>
  </r>
  <r>
    <s v="A00019"/>
    <s v="P0006"/>
    <x v="18"/>
    <n v="34.799999999999997"/>
    <n v="131"/>
    <n v="136"/>
  </r>
  <r>
    <s v="A00020"/>
    <s v="P0006"/>
    <x v="12"/>
    <n v="42.7"/>
    <n v="97"/>
    <n v="55"/>
  </r>
  <r>
    <s v="A00021"/>
    <s v="P0006"/>
    <x v="14"/>
    <n v="22.5"/>
    <n v="145"/>
    <n v="110"/>
  </r>
  <r>
    <s v="A00022"/>
    <s v="P0007"/>
    <x v="15"/>
    <n v="39"/>
    <n v="99"/>
    <n v="157"/>
  </r>
  <r>
    <s v="A00023"/>
    <s v="P0007"/>
    <x v="19"/>
    <n v="38.700000000000003"/>
    <n v="78"/>
    <n v="125"/>
  </r>
  <r>
    <s v="A00024"/>
    <s v="P0007"/>
    <x v="18"/>
    <n v="22.3"/>
    <n v="131"/>
    <n v="158"/>
  </r>
  <r>
    <s v="A00025"/>
    <s v="P0008"/>
    <x v="13"/>
    <n v="46.7"/>
    <n v="152"/>
    <n v="180"/>
  </r>
  <r>
    <s v="A00026"/>
    <s v="P0008"/>
    <x v="0"/>
    <n v="31.2"/>
    <n v="75"/>
    <n v="143"/>
  </r>
  <r>
    <s v="A00027"/>
    <s v="P0008"/>
    <x v="20"/>
    <n v="22.1"/>
    <n v="99"/>
    <n v="51"/>
  </r>
  <r>
    <s v="A00028"/>
    <s v="P0009"/>
    <x v="21"/>
    <n v="57"/>
    <n v="115"/>
    <n v="114"/>
  </r>
  <r>
    <s v="A00029"/>
    <s v="P0009"/>
    <x v="16"/>
    <n v="43"/>
    <n v="124"/>
    <n v="96"/>
  </r>
  <r>
    <s v="A00030"/>
    <s v="P0010"/>
    <x v="22"/>
    <n v="39.299999999999997"/>
    <n v="118"/>
    <n v="175"/>
  </r>
  <r>
    <s v="A00031"/>
    <s v="P0010"/>
    <x v="10"/>
    <n v="60.7"/>
    <n v="175"/>
    <n v="158"/>
  </r>
  <r>
    <s v="A00032"/>
    <s v="P0011"/>
    <x v="9"/>
    <n v="21.8"/>
    <n v="123"/>
    <n v="140"/>
  </r>
  <r>
    <s v="A00033"/>
    <s v="P0011"/>
    <x v="4"/>
    <n v="16"/>
    <n v="176"/>
    <n v="147"/>
  </r>
  <r>
    <s v="A00034"/>
    <s v="P0011"/>
    <x v="14"/>
    <n v="19"/>
    <n v="70"/>
    <n v="103"/>
  </r>
  <r>
    <s v="A00035"/>
    <s v="P0011"/>
    <x v="22"/>
    <n v="23.8"/>
    <n v="104"/>
    <n v="96"/>
  </r>
  <r>
    <s v="A00036"/>
    <s v="P0011"/>
    <x v="23"/>
    <n v="19.5"/>
    <n v="71"/>
    <n v="54"/>
  </r>
  <r>
    <s v="A00037"/>
    <s v="P0012"/>
    <x v="15"/>
    <n v="23.3"/>
    <n v="173"/>
    <n v="71"/>
  </r>
  <r>
    <s v="A00038"/>
    <s v="P0012"/>
    <x v="16"/>
    <n v="26.4"/>
    <n v="152"/>
    <n v="116"/>
  </r>
  <r>
    <s v="A00039"/>
    <s v="P0012"/>
    <x v="24"/>
    <n v="19.8"/>
    <n v="113"/>
    <n v="91"/>
  </r>
  <r>
    <s v="A00040"/>
    <s v="P0012"/>
    <x v="21"/>
    <n v="30.5"/>
    <n v="123"/>
    <n v="175"/>
  </r>
  <r>
    <s v="A00041"/>
    <s v="P0013"/>
    <x v="25"/>
    <n v="29.3"/>
    <n v="142"/>
    <n v="172"/>
  </r>
  <r>
    <s v="A00042"/>
    <s v="P0013"/>
    <x v="26"/>
    <n v="32.799999999999997"/>
    <n v="161"/>
    <n v="65"/>
  </r>
  <r>
    <s v="A00043"/>
    <s v="P0013"/>
    <x v="3"/>
    <n v="37.9"/>
    <n v="125"/>
    <n v="168"/>
  </r>
  <r>
    <s v="A00044"/>
    <s v="P0014"/>
    <x v="3"/>
    <n v="18.399999999999999"/>
    <n v="93"/>
    <n v="131"/>
  </r>
  <r>
    <s v="A00045"/>
    <s v="P0014"/>
    <x v="27"/>
    <n v="19.5"/>
    <n v="179"/>
    <n v="147"/>
  </r>
  <r>
    <s v="A00046"/>
    <s v="P0014"/>
    <x v="28"/>
    <n v="24.7"/>
    <n v="134"/>
    <n v="154"/>
  </r>
  <r>
    <s v="A00047"/>
    <s v="P0014"/>
    <x v="29"/>
    <n v="37.5"/>
    <n v="135"/>
    <n v="98"/>
  </r>
  <r>
    <s v="A00048"/>
    <s v="P0015"/>
    <x v="30"/>
    <n v="39.4"/>
    <n v="82"/>
    <n v="62"/>
  </r>
  <r>
    <s v="A00049"/>
    <s v="P0015"/>
    <x v="10"/>
    <n v="23.9"/>
    <n v="160"/>
    <n v="73"/>
  </r>
  <r>
    <s v="A00050"/>
    <s v="P0015"/>
    <x v="14"/>
    <n v="36.700000000000003"/>
    <n v="167"/>
    <n v="60"/>
  </r>
  <r>
    <s v="A00051"/>
    <s v="P0016"/>
    <x v="29"/>
    <n v="20.8"/>
    <n v="124"/>
    <n v="149"/>
  </r>
  <r>
    <s v="A00052"/>
    <s v="P0016"/>
    <x v="31"/>
    <n v="16.100000000000001"/>
    <n v="80"/>
    <n v="62"/>
  </r>
  <r>
    <s v="A00053"/>
    <s v="P0016"/>
    <x v="32"/>
    <n v="17.5"/>
    <n v="116"/>
    <n v="98"/>
  </r>
  <r>
    <s v="A00054"/>
    <s v="P0016"/>
    <x v="7"/>
    <n v="22.8"/>
    <n v="177"/>
    <n v="103"/>
  </r>
  <r>
    <s v="A00055"/>
    <s v="P0016"/>
    <x v="25"/>
    <n v="22.8"/>
    <n v="69"/>
    <n v="102"/>
  </r>
  <r>
    <s v="A00056"/>
    <s v="P0017"/>
    <x v="12"/>
    <n v="39.1"/>
    <n v="71"/>
    <n v="65"/>
  </r>
  <r>
    <s v="A00057"/>
    <s v="P0017"/>
    <x v="29"/>
    <n v="22.1"/>
    <n v="139"/>
    <n v="92"/>
  </r>
  <r>
    <s v="A00058"/>
    <s v="P0017"/>
    <x v="4"/>
    <n v="38.799999999999997"/>
    <n v="176"/>
    <n v="160"/>
  </r>
  <r>
    <s v="A00059"/>
    <s v="P0018"/>
    <x v="5"/>
    <n v="27.3"/>
    <n v="166"/>
    <n v="114"/>
  </r>
  <r>
    <s v="A00060"/>
    <s v="P0018"/>
    <x v="2"/>
    <n v="26.5"/>
    <n v="108"/>
    <n v="101"/>
  </r>
  <r>
    <s v="A00061"/>
    <s v="P0018"/>
    <x v="24"/>
    <n v="18.2"/>
    <n v="161"/>
    <n v="106"/>
  </r>
  <r>
    <s v="A00062"/>
    <s v="P0018"/>
    <x v="33"/>
    <n v="28"/>
    <n v="106"/>
    <n v="75"/>
  </r>
  <r>
    <s v="A00063"/>
    <s v="P0019"/>
    <x v="16"/>
    <n v="47.6"/>
    <n v="78"/>
    <n v="104"/>
  </r>
  <r>
    <s v="A00064"/>
    <s v="P0019"/>
    <x v="8"/>
    <n v="52.4"/>
    <n v="161"/>
    <n v="167"/>
  </r>
  <r>
    <s v="A00065"/>
    <s v="P0020"/>
    <x v="34"/>
    <n v="63.6"/>
    <n v="104"/>
    <n v="59"/>
  </r>
  <r>
    <s v="A00066"/>
    <s v="P0020"/>
    <x v="4"/>
    <n v="36.4"/>
    <n v="159"/>
    <n v="58"/>
  </r>
  <r>
    <s v="A00067"/>
    <s v="P0021"/>
    <x v="35"/>
    <n v="57.9"/>
    <n v="158"/>
    <n v="125"/>
  </r>
  <r>
    <s v="A00068"/>
    <s v="P0021"/>
    <x v="20"/>
    <n v="42.1"/>
    <n v="85"/>
    <n v="164"/>
  </r>
  <r>
    <s v="A00069"/>
    <s v="P0022"/>
    <x v="7"/>
    <n v="25.5"/>
    <n v="121"/>
    <n v="106"/>
  </r>
  <r>
    <s v="A00070"/>
    <s v="P0022"/>
    <x v="36"/>
    <n v="39.799999999999997"/>
    <n v="180"/>
    <n v="103"/>
  </r>
  <r>
    <s v="A00071"/>
    <s v="P0022"/>
    <x v="20"/>
    <n v="34.799999999999997"/>
    <n v="129"/>
    <n v="150"/>
  </r>
  <r>
    <s v="A00072"/>
    <s v="P0023"/>
    <x v="33"/>
    <n v="18.3"/>
    <n v="95"/>
    <n v="130"/>
  </r>
  <r>
    <s v="A00073"/>
    <s v="P0023"/>
    <x v="11"/>
    <n v="28.4"/>
    <n v="164"/>
    <n v="176"/>
  </r>
  <r>
    <s v="A00074"/>
    <s v="P0023"/>
    <x v="10"/>
    <n v="28"/>
    <n v="147"/>
    <n v="153"/>
  </r>
  <r>
    <s v="A00075"/>
    <s v="P0023"/>
    <x v="16"/>
    <n v="25.2"/>
    <n v="74"/>
    <n v="145"/>
  </r>
  <r>
    <s v="A00076"/>
    <s v="P0024"/>
    <x v="37"/>
    <n v="52.2"/>
    <n v="142"/>
    <n v="76"/>
  </r>
  <r>
    <s v="A00077"/>
    <s v="P0024"/>
    <x v="38"/>
    <n v="47.8"/>
    <n v="139"/>
    <n v="62"/>
  </r>
  <r>
    <s v="A00078"/>
    <s v="P0025"/>
    <x v="36"/>
    <n v="22.8"/>
    <n v="145"/>
    <n v="172"/>
  </r>
  <r>
    <s v="A00079"/>
    <s v="P0025"/>
    <x v="7"/>
    <n v="17.8"/>
    <n v="125"/>
    <n v="96"/>
  </r>
  <r>
    <s v="A00080"/>
    <s v="P0025"/>
    <x v="22"/>
    <n v="23.4"/>
    <n v="98"/>
    <n v="82"/>
  </r>
  <r>
    <s v="A00081"/>
    <s v="P0025"/>
    <x v="25"/>
    <n v="21"/>
    <n v="72"/>
    <n v="133"/>
  </r>
  <r>
    <s v="A00082"/>
    <s v="P0025"/>
    <x v="28"/>
    <n v="15.1"/>
    <n v="113"/>
    <n v="128"/>
  </r>
  <r>
    <s v="A00083"/>
    <s v="P0026"/>
    <x v="19"/>
    <n v="44.1"/>
    <n v="113"/>
    <n v="157"/>
  </r>
  <r>
    <s v="A00084"/>
    <s v="P0026"/>
    <x v="13"/>
    <n v="55.9"/>
    <n v="78"/>
    <n v="133"/>
  </r>
  <r>
    <s v="A00085"/>
    <s v="P0027"/>
    <x v="37"/>
    <n v="55.7"/>
    <n v="165"/>
    <n v="81"/>
  </r>
  <r>
    <s v="A00086"/>
    <s v="P0027"/>
    <x v="21"/>
    <n v="44.3"/>
    <n v="65"/>
    <n v="123"/>
  </r>
  <r>
    <s v="A00087"/>
    <s v="P0028"/>
    <x v="10"/>
    <n v="45.1"/>
    <n v="118"/>
    <n v="112"/>
  </r>
  <r>
    <s v="A00088"/>
    <s v="P0028"/>
    <x v="6"/>
    <n v="54.9"/>
    <n v="136"/>
    <n v="180"/>
  </r>
  <r>
    <s v="A00089"/>
    <s v="P0029"/>
    <x v="24"/>
    <n v="24.5"/>
    <n v="64"/>
    <n v="141"/>
  </r>
  <r>
    <s v="A00090"/>
    <s v="P0029"/>
    <x v="10"/>
    <n v="39.6"/>
    <n v="80"/>
    <n v="158"/>
  </r>
  <r>
    <s v="A00091"/>
    <s v="P0029"/>
    <x v="11"/>
    <n v="35.9"/>
    <n v="106"/>
    <n v="133"/>
  </r>
  <r>
    <s v="A00092"/>
    <s v="P0030"/>
    <x v="39"/>
    <n v="34.4"/>
    <n v="91"/>
    <n v="95"/>
  </r>
  <r>
    <s v="A00093"/>
    <s v="P0030"/>
    <x v="11"/>
    <n v="37.5"/>
    <n v="175"/>
    <n v="161"/>
  </r>
  <r>
    <s v="A00094"/>
    <s v="P0030"/>
    <x v="15"/>
    <n v="28.1"/>
    <n v="82"/>
    <n v="94"/>
  </r>
  <r>
    <s v="A00095"/>
    <s v="P0031"/>
    <x v="32"/>
    <n v="54.5"/>
    <n v="93"/>
    <n v="142"/>
  </r>
  <r>
    <s v="A00096"/>
    <s v="P0031"/>
    <x v="11"/>
    <n v="45.5"/>
    <n v="107"/>
    <n v="97"/>
  </r>
  <r>
    <s v="A00097"/>
    <s v="P0032"/>
    <x v="39"/>
    <n v="35.799999999999997"/>
    <n v="81"/>
    <n v="55"/>
  </r>
  <r>
    <s v="A00098"/>
    <s v="P0032"/>
    <x v="3"/>
    <n v="41.8"/>
    <n v="135"/>
    <n v="153"/>
  </r>
  <r>
    <s v="A00099"/>
    <s v="P0032"/>
    <x v="18"/>
    <n v="22.4"/>
    <n v="95"/>
    <n v="128"/>
  </r>
  <r>
    <s v="A00100"/>
    <s v="P0033"/>
    <x v="35"/>
    <n v="51.1"/>
    <n v="88"/>
    <n v="180"/>
  </r>
  <r>
    <s v="A00101"/>
    <s v="P0033"/>
    <x v="17"/>
    <n v="48.9"/>
    <n v="80"/>
    <n v="113"/>
  </r>
  <r>
    <s v="A00102"/>
    <s v="P0034"/>
    <x v="31"/>
    <n v="18.7"/>
    <n v="87"/>
    <n v="50"/>
  </r>
  <r>
    <s v="A00103"/>
    <s v="P0034"/>
    <x v="13"/>
    <n v="29.5"/>
    <n v="96"/>
    <n v="112"/>
  </r>
  <r>
    <s v="A00104"/>
    <s v="P0034"/>
    <x v="22"/>
    <n v="30.8"/>
    <n v="81"/>
    <n v="119"/>
  </r>
  <r>
    <s v="A00105"/>
    <s v="P0034"/>
    <x v="30"/>
    <n v="21"/>
    <n v="80"/>
    <n v="145"/>
  </r>
  <r>
    <s v="A00106"/>
    <s v="P0035"/>
    <x v="22"/>
    <n v="36.799999999999997"/>
    <n v="128"/>
    <n v="134"/>
  </r>
  <r>
    <s v="A00107"/>
    <s v="P0035"/>
    <x v="36"/>
    <n v="19.5"/>
    <n v="69"/>
    <n v="132"/>
  </r>
  <r>
    <s v="A00108"/>
    <s v="P0035"/>
    <x v="37"/>
    <n v="43.7"/>
    <n v="84"/>
    <n v="117"/>
  </r>
  <r>
    <s v="A00109"/>
    <s v="P0036"/>
    <x v="16"/>
    <n v="19.7"/>
    <n v="130"/>
    <n v="53"/>
  </r>
  <r>
    <s v="A00110"/>
    <s v="P0036"/>
    <x v="7"/>
    <n v="23.2"/>
    <n v="124"/>
    <n v="153"/>
  </r>
  <r>
    <s v="A00111"/>
    <s v="P0036"/>
    <x v="40"/>
    <n v="14.1"/>
    <n v="135"/>
    <n v="142"/>
  </r>
  <r>
    <s v="A00112"/>
    <s v="P0036"/>
    <x v="28"/>
    <n v="21.6"/>
    <n v="105"/>
    <n v="161"/>
  </r>
  <r>
    <s v="A00113"/>
    <s v="P0036"/>
    <x v="22"/>
    <n v="21.4"/>
    <n v="92"/>
    <n v="168"/>
  </r>
  <r>
    <s v="A00114"/>
    <s v="P0037"/>
    <x v="0"/>
    <n v="54.7"/>
    <n v="67"/>
    <n v="144"/>
  </r>
  <r>
    <s v="A00115"/>
    <s v="P0037"/>
    <x v="16"/>
    <n v="45.3"/>
    <n v="176"/>
    <n v="159"/>
  </r>
  <r>
    <s v="A00116"/>
    <s v="P0038"/>
    <x v="24"/>
    <n v="40.9"/>
    <n v="61"/>
    <n v="80"/>
  </r>
  <r>
    <s v="A00117"/>
    <s v="P0038"/>
    <x v="2"/>
    <n v="32.200000000000003"/>
    <n v="178"/>
    <n v="60"/>
  </r>
  <r>
    <s v="A00118"/>
    <s v="P0038"/>
    <x v="33"/>
    <n v="26.9"/>
    <n v="151"/>
    <n v="95"/>
  </r>
  <r>
    <s v="A00119"/>
    <s v="P0039"/>
    <x v="2"/>
    <n v="33.4"/>
    <n v="114"/>
    <n v="88"/>
  </r>
  <r>
    <s v="A00120"/>
    <s v="P0039"/>
    <x v="0"/>
    <n v="27.5"/>
    <n v="127"/>
    <n v="138"/>
  </r>
  <r>
    <s v="A00121"/>
    <s v="P0039"/>
    <x v="41"/>
    <n v="19.8"/>
    <n v="155"/>
    <n v="111"/>
  </r>
  <r>
    <s v="A00122"/>
    <s v="P0039"/>
    <x v="3"/>
    <n v="19.3"/>
    <n v="163"/>
    <n v="158"/>
  </r>
  <r>
    <s v="A00123"/>
    <s v="P0040"/>
    <x v="22"/>
    <n v="19.2"/>
    <n v="173"/>
    <n v="69"/>
  </r>
  <r>
    <s v="A00124"/>
    <s v="P0040"/>
    <x v="23"/>
    <n v="15"/>
    <n v="175"/>
    <n v="130"/>
  </r>
  <r>
    <s v="A00125"/>
    <s v="P0040"/>
    <x v="27"/>
    <n v="17.100000000000001"/>
    <n v="113"/>
    <n v="178"/>
  </r>
  <r>
    <s v="A00126"/>
    <s v="P0040"/>
    <x v="10"/>
    <n v="24.7"/>
    <n v="74"/>
    <n v="66"/>
  </r>
  <r>
    <s v="A00127"/>
    <s v="P0040"/>
    <x v="32"/>
    <n v="24"/>
    <n v="83"/>
    <n v="107"/>
  </r>
  <r>
    <s v="A00128"/>
    <s v="P0041"/>
    <x v="42"/>
    <n v="46.6"/>
    <n v="74"/>
    <n v="121"/>
  </r>
  <r>
    <s v="A00129"/>
    <s v="P0041"/>
    <x v="32"/>
    <n v="22.8"/>
    <n v="86"/>
    <n v="61"/>
  </r>
  <r>
    <s v="A00130"/>
    <s v="P0041"/>
    <x v="41"/>
    <n v="30.5"/>
    <n v="124"/>
    <n v="156"/>
  </r>
  <r>
    <s v="A00131"/>
    <s v="P0042"/>
    <x v="0"/>
    <n v="25.6"/>
    <n v="72"/>
    <n v="101"/>
  </r>
  <r>
    <s v="A00132"/>
    <s v="P0042"/>
    <x v="27"/>
    <n v="24.2"/>
    <n v="117"/>
    <n v="81"/>
  </r>
  <r>
    <s v="A00133"/>
    <s v="P0042"/>
    <x v="34"/>
    <n v="22.5"/>
    <n v="140"/>
    <n v="154"/>
  </r>
  <r>
    <s v="A00134"/>
    <s v="P0042"/>
    <x v="14"/>
    <n v="27.7"/>
    <n v="159"/>
    <n v="132"/>
  </r>
  <r>
    <s v="A00135"/>
    <s v="P0043"/>
    <x v="23"/>
    <n v="29.5"/>
    <n v="114"/>
    <n v="161"/>
  </r>
  <r>
    <s v="A00136"/>
    <s v="P0043"/>
    <x v="6"/>
    <n v="26.1"/>
    <n v="60"/>
    <n v="138"/>
  </r>
  <r>
    <s v="A00137"/>
    <s v="P0043"/>
    <x v="8"/>
    <n v="44.4"/>
    <n v="125"/>
    <n v="180"/>
  </r>
  <r>
    <s v="A00138"/>
    <s v="P0044"/>
    <x v="36"/>
    <n v="42.4"/>
    <n v="124"/>
    <n v="153"/>
  </r>
  <r>
    <s v="A00139"/>
    <s v="P0044"/>
    <x v="11"/>
    <n v="37.9"/>
    <n v="119"/>
    <n v="100"/>
  </r>
  <r>
    <s v="A00140"/>
    <s v="P0044"/>
    <x v="0"/>
    <n v="19.600000000000001"/>
    <n v="89"/>
    <n v="60"/>
  </r>
  <r>
    <s v="A00141"/>
    <s v="P0045"/>
    <x v="8"/>
    <n v="22.5"/>
    <n v="74"/>
    <n v="103"/>
  </r>
  <r>
    <s v="A00142"/>
    <s v="P0045"/>
    <x v="19"/>
    <n v="40.4"/>
    <n v="86"/>
    <n v="62"/>
  </r>
  <r>
    <s v="A00143"/>
    <s v="P0045"/>
    <x v="43"/>
    <n v="37"/>
    <n v="172"/>
    <n v="109"/>
  </r>
  <r>
    <s v="A00144"/>
    <s v="P0046"/>
    <x v="6"/>
    <n v="43.2"/>
    <n v="171"/>
    <n v="117"/>
  </r>
  <r>
    <s v="A00145"/>
    <s v="P0046"/>
    <x v="25"/>
    <n v="56.8"/>
    <n v="99"/>
    <n v="139"/>
  </r>
  <r>
    <s v="A00146"/>
    <s v="P0047"/>
    <x v="40"/>
    <n v="40.700000000000003"/>
    <n v="76"/>
    <n v="145"/>
  </r>
  <r>
    <s v="A00147"/>
    <s v="P0047"/>
    <x v="2"/>
    <n v="59.3"/>
    <n v="63"/>
    <n v="130"/>
  </r>
  <r>
    <s v="A00148"/>
    <s v="P0048"/>
    <x v="20"/>
    <n v="34.5"/>
    <n v="66"/>
    <n v="175"/>
  </r>
  <r>
    <s v="A00149"/>
    <s v="P0048"/>
    <x v="30"/>
    <n v="18"/>
    <n v="123"/>
    <n v="51"/>
  </r>
  <r>
    <s v="A00150"/>
    <s v="P0048"/>
    <x v="4"/>
    <n v="20.6"/>
    <n v="135"/>
    <n v="170"/>
  </r>
  <r>
    <s v="A00151"/>
    <s v="P0048"/>
    <x v="19"/>
    <n v="26.8"/>
    <n v="101"/>
    <n v="103"/>
  </r>
  <r>
    <s v="A00152"/>
    <s v="P0049"/>
    <x v="10"/>
    <n v="26"/>
    <n v="111"/>
    <n v="68"/>
  </r>
  <r>
    <s v="A00153"/>
    <s v="P0049"/>
    <x v="41"/>
    <n v="37.200000000000003"/>
    <n v="136"/>
    <n v="155"/>
  </r>
  <r>
    <s v="A00154"/>
    <s v="P0049"/>
    <x v="29"/>
    <n v="36.799999999999997"/>
    <n v="80"/>
    <n v="113"/>
  </r>
  <r>
    <s v="A00155"/>
    <s v="P0050"/>
    <x v="32"/>
    <n v="39.299999999999997"/>
    <n v="136"/>
    <n v="91"/>
  </r>
  <r>
    <s v="A00156"/>
    <s v="P0050"/>
    <x v="39"/>
    <n v="31.9"/>
    <n v="68"/>
    <n v="155"/>
  </r>
  <r>
    <s v="A00157"/>
    <s v="P0050"/>
    <x v="17"/>
    <n v="28.8"/>
    <n v="154"/>
    <n v="117"/>
  </r>
  <r>
    <s v="A00158"/>
    <s v="P0051"/>
    <x v="10"/>
    <n v="17.399999999999999"/>
    <n v="71"/>
    <n v="76"/>
  </r>
  <r>
    <s v="A00159"/>
    <s v="P0051"/>
    <x v="1"/>
    <n v="19.100000000000001"/>
    <n v="172"/>
    <n v="98"/>
  </r>
  <r>
    <s v="A00160"/>
    <s v="P0051"/>
    <x v="22"/>
    <n v="17.899999999999999"/>
    <n v="75"/>
    <n v="179"/>
  </r>
  <r>
    <s v="A00161"/>
    <s v="P0051"/>
    <x v="41"/>
    <n v="23.5"/>
    <n v="119"/>
    <n v="79"/>
  </r>
  <r>
    <s v="A00162"/>
    <s v="P0051"/>
    <x v="33"/>
    <n v="22.1"/>
    <n v="143"/>
    <n v="77"/>
  </r>
  <r>
    <s v="A00163"/>
    <s v="P0052"/>
    <x v="41"/>
    <n v="21.4"/>
    <n v="135"/>
    <n v="85"/>
  </r>
  <r>
    <s v="A00164"/>
    <s v="P0052"/>
    <x v="12"/>
    <n v="20.3"/>
    <n v="104"/>
    <n v="71"/>
  </r>
  <r>
    <s v="A00165"/>
    <s v="P0052"/>
    <x v="13"/>
    <n v="25.8"/>
    <n v="137"/>
    <n v="176"/>
  </r>
  <r>
    <s v="A00166"/>
    <s v="P0052"/>
    <x v="27"/>
    <n v="32.5"/>
    <n v="139"/>
    <n v="149"/>
  </r>
  <r>
    <s v="A00167"/>
    <s v="P0053"/>
    <x v="5"/>
    <n v="24.5"/>
    <n v="146"/>
    <n v="81"/>
  </r>
  <r>
    <s v="A00168"/>
    <s v="P0053"/>
    <x v="20"/>
    <n v="36.5"/>
    <n v="99"/>
    <n v="84"/>
  </r>
  <r>
    <s v="A00169"/>
    <s v="P0053"/>
    <x v="14"/>
    <n v="39"/>
    <n v="64"/>
    <n v="78"/>
  </r>
  <r>
    <s v="A00170"/>
    <s v="P0054"/>
    <x v="43"/>
    <n v="57.4"/>
    <n v="63"/>
    <n v="68"/>
  </r>
  <r>
    <s v="A00171"/>
    <s v="P0054"/>
    <x v="44"/>
    <n v="42.6"/>
    <n v="161"/>
    <n v="135"/>
  </r>
  <r>
    <s v="A00172"/>
    <s v="P0055"/>
    <x v="6"/>
    <n v="35"/>
    <n v="161"/>
    <n v="159"/>
  </r>
  <r>
    <s v="A00173"/>
    <s v="P0055"/>
    <x v="37"/>
    <n v="29.6"/>
    <n v="71"/>
    <n v="100"/>
  </r>
  <r>
    <s v="A00174"/>
    <s v="P0055"/>
    <x v="12"/>
    <n v="35.4"/>
    <n v="176"/>
    <n v="95"/>
  </r>
  <r>
    <s v="A00175"/>
    <s v="P0056"/>
    <x v="17"/>
    <n v="31.7"/>
    <n v="116"/>
    <n v="174"/>
  </r>
  <r>
    <s v="A00176"/>
    <s v="P0056"/>
    <x v="30"/>
    <n v="22.6"/>
    <n v="109"/>
    <n v="101"/>
  </r>
  <r>
    <s v="A00177"/>
    <s v="P0056"/>
    <x v="37"/>
    <n v="30.1"/>
    <n v="92"/>
    <n v="50"/>
  </r>
  <r>
    <s v="A00178"/>
    <s v="P0056"/>
    <x v="44"/>
    <n v="15.6"/>
    <n v="167"/>
    <n v="53"/>
  </r>
  <r>
    <s v="A00179"/>
    <s v="P0057"/>
    <x v="1"/>
    <n v="15.2"/>
    <n v="83"/>
    <n v="135"/>
  </r>
  <r>
    <s v="A00180"/>
    <s v="P0057"/>
    <x v="14"/>
    <n v="30.1"/>
    <n v="78"/>
    <n v="150"/>
  </r>
  <r>
    <s v="A00181"/>
    <s v="P0057"/>
    <x v="28"/>
    <n v="24.1"/>
    <n v="77"/>
    <n v="144"/>
  </r>
  <r>
    <s v="A00182"/>
    <s v="P0057"/>
    <x v="13"/>
    <n v="30.6"/>
    <n v="160"/>
    <n v="79"/>
  </r>
  <r>
    <s v="A00183"/>
    <s v="P0058"/>
    <x v="39"/>
    <n v="24.3"/>
    <n v="75"/>
    <n v="144"/>
  </r>
  <r>
    <s v="A00184"/>
    <s v="P0058"/>
    <x v="18"/>
    <n v="20.2"/>
    <n v="73"/>
    <n v="168"/>
  </r>
  <r>
    <s v="A00185"/>
    <s v="P0058"/>
    <x v="34"/>
    <n v="28"/>
    <n v="108"/>
    <n v="58"/>
  </r>
  <r>
    <s v="A00186"/>
    <s v="P0058"/>
    <x v="38"/>
    <n v="27.5"/>
    <n v="117"/>
    <n v="91"/>
  </r>
  <r>
    <s v="A00187"/>
    <s v="P0059"/>
    <x v="30"/>
    <n v="44.4"/>
    <n v="166"/>
    <n v="159"/>
  </r>
  <r>
    <s v="A00188"/>
    <s v="P0059"/>
    <x v="0"/>
    <n v="25.9"/>
    <n v="131"/>
    <n v="162"/>
  </r>
  <r>
    <s v="A00189"/>
    <s v="P0059"/>
    <x v="26"/>
    <n v="29.7"/>
    <n v="148"/>
    <n v="99"/>
  </r>
  <r>
    <s v="A00190"/>
    <s v="P0060"/>
    <x v="25"/>
    <n v="49.5"/>
    <n v="122"/>
    <n v="125"/>
  </r>
  <r>
    <s v="A00191"/>
    <s v="P0060"/>
    <x v="30"/>
    <n v="50.5"/>
    <n v="170"/>
    <n v="163"/>
  </r>
  <r>
    <s v="A00192"/>
    <s v="P0061"/>
    <x v="22"/>
    <n v="45.8"/>
    <n v="174"/>
    <n v="113"/>
  </r>
  <r>
    <s v="A00193"/>
    <s v="P0061"/>
    <x v="14"/>
    <n v="24"/>
    <n v="146"/>
    <n v="156"/>
  </r>
  <r>
    <s v="A00194"/>
    <s v="P0061"/>
    <x v="16"/>
    <n v="30.3"/>
    <n v="82"/>
    <n v="145"/>
  </r>
  <r>
    <s v="A00195"/>
    <s v="P0062"/>
    <x v="42"/>
    <n v="34.9"/>
    <n v="123"/>
    <n v="165"/>
  </r>
  <r>
    <s v="A00196"/>
    <s v="P0062"/>
    <x v="40"/>
    <n v="32.799999999999997"/>
    <n v="147"/>
    <n v="84"/>
  </r>
  <r>
    <s v="A00197"/>
    <s v="P0062"/>
    <x v="37"/>
    <n v="32.4"/>
    <n v="121"/>
    <n v="50"/>
  </r>
  <r>
    <s v="A00198"/>
    <s v="P0063"/>
    <x v="30"/>
    <n v="44.4"/>
    <n v="63"/>
    <n v="65"/>
  </r>
  <r>
    <s v="A00199"/>
    <s v="P0063"/>
    <x v="27"/>
    <n v="55.6"/>
    <n v="74"/>
    <n v="148"/>
  </r>
  <r>
    <s v="A00200"/>
    <s v="P0064"/>
    <x v="4"/>
    <n v="39.1"/>
    <n v="79"/>
    <n v="179"/>
  </r>
  <r>
    <s v="A00201"/>
    <s v="P0064"/>
    <x v="40"/>
    <n v="27.5"/>
    <n v="84"/>
    <n v="62"/>
  </r>
  <r>
    <s v="A00202"/>
    <s v="P0064"/>
    <x v="7"/>
    <n v="33.299999999999997"/>
    <n v="162"/>
    <n v="155"/>
  </r>
  <r>
    <s v="A00203"/>
    <s v="P0065"/>
    <x v="22"/>
    <n v="27.2"/>
    <n v="146"/>
    <n v="78"/>
  </r>
  <r>
    <s v="A00204"/>
    <s v="P0065"/>
    <x v="13"/>
    <n v="21"/>
    <n v="84"/>
    <n v="130"/>
  </r>
  <r>
    <s v="A00205"/>
    <s v="P0065"/>
    <x v="1"/>
    <n v="26.9"/>
    <n v="105"/>
    <n v="124"/>
  </r>
  <r>
    <s v="A00206"/>
    <s v="P0065"/>
    <x v="2"/>
    <n v="24.9"/>
    <n v="85"/>
    <n v="176"/>
  </r>
  <r>
    <s v="A00207"/>
    <s v="P0066"/>
    <x v="11"/>
    <n v="56.7"/>
    <n v="64"/>
    <n v="97"/>
  </r>
  <r>
    <s v="A00208"/>
    <s v="P0066"/>
    <x v="9"/>
    <n v="43.3"/>
    <n v="155"/>
    <n v="52"/>
  </r>
  <r>
    <s v="A00209"/>
    <s v="P0067"/>
    <x v="14"/>
    <n v="25.1"/>
    <n v="148"/>
    <n v="105"/>
  </r>
  <r>
    <s v="A00210"/>
    <s v="P0067"/>
    <x v="4"/>
    <n v="13.5"/>
    <n v="153"/>
    <n v="142"/>
  </r>
  <r>
    <s v="A00211"/>
    <s v="P0067"/>
    <x v="6"/>
    <n v="31"/>
    <n v="143"/>
    <n v="134"/>
  </r>
  <r>
    <s v="A00212"/>
    <s v="P0067"/>
    <x v="26"/>
    <n v="30.4"/>
    <n v="120"/>
    <n v="71"/>
  </r>
  <r>
    <s v="A00213"/>
    <s v="P0068"/>
    <x v="37"/>
    <n v="56.5"/>
    <n v="92"/>
    <n v="77"/>
  </r>
  <r>
    <s v="A00214"/>
    <s v="P0068"/>
    <x v="44"/>
    <n v="43.5"/>
    <n v="165"/>
    <n v="154"/>
  </r>
  <r>
    <s v="A00215"/>
    <s v="P0069"/>
    <x v="37"/>
    <n v="20.100000000000001"/>
    <n v="124"/>
    <n v="162"/>
  </r>
  <r>
    <s v="A00216"/>
    <s v="P0069"/>
    <x v="17"/>
    <n v="21.9"/>
    <n v="83"/>
    <n v="177"/>
  </r>
  <r>
    <s v="A00217"/>
    <s v="P0069"/>
    <x v="18"/>
    <n v="24.7"/>
    <n v="106"/>
    <n v="132"/>
  </r>
  <r>
    <s v="A00218"/>
    <s v="P0069"/>
    <x v="3"/>
    <n v="33.299999999999997"/>
    <n v="145"/>
    <n v="112"/>
  </r>
  <r>
    <s v="A00219"/>
    <s v="P0070"/>
    <x v="2"/>
    <n v="53.8"/>
    <n v="139"/>
    <n v="114"/>
  </r>
  <r>
    <s v="A00220"/>
    <s v="P0070"/>
    <x v="5"/>
    <n v="46.2"/>
    <n v="159"/>
    <n v="123"/>
  </r>
  <r>
    <s v="A00221"/>
    <s v="P0071"/>
    <x v="5"/>
    <n v="19.399999999999999"/>
    <n v="146"/>
    <n v="87"/>
  </r>
  <r>
    <s v="A00222"/>
    <s v="P0071"/>
    <x v="36"/>
    <n v="36.299999999999997"/>
    <n v="178"/>
    <n v="127"/>
  </r>
  <r>
    <s v="A00223"/>
    <s v="P0071"/>
    <x v="39"/>
    <n v="44.3"/>
    <n v="88"/>
    <n v="84"/>
  </r>
  <r>
    <s v="A00224"/>
    <s v="P0072"/>
    <x v="28"/>
    <n v="37"/>
    <n v="149"/>
    <n v="123"/>
  </r>
  <r>
    <s v="A00225"/>
    <s v="P0072"/>
    <x v="10"/>
    <n v="25.2"/>
    <n v="84"/>
    <n v="150"/>
  </r>
  <r>
    <s v="A00226"/>
    <s v="P0072"/>
    <x v="37"/>
    <n v="37.9"/>
    <n v="107"/>
    <n v="166"/>
  </r>
  <r>
    <s v="A00227"/>
    <s v="P0073"/>
    <x v="36"/>
    <n v="46.3"/>
    <n v="151"/>
    <n v="68"/>
  </r>
  <r>
    <s v="A00228"/>
    <s v="P0073"/>
    <x v="27"/>
    <n v="28.9"/>
    <n v="149"/>
    <n v="75"/>
  </r>
  <r>
    <s v="A00229"/>
    <s v="P0073"/>
    <x v="43"/>
    <n v="24.8"/>
    <n v="148"/>
    <n v="141"/>
  </r>
  <r>
    <s v="A00230"/>
    <s v="P0074"/>
    <x v="1"/>
    <n v="36.700000000000003"/>
    <n v="61"/>
    <n v="157"/>
  </r>
  <r>
    <s v="A00231"/>
    <s v="P0074"/>
    <x v="3"/>
    <n v="24.6"/>
    <n v="89"/>
    <n v="98"/>
  </r>
  <r>
    <s v="A00232"/>
    <s v="P0074"/>
    <x v="12"/>
    <n v="38.700000000000003"/>
    <n v="71"/>
    <n v="93"/>
  </r>
  <r>
    <s v="A00233"/>
    <s v="P0075"/>
    <x v="40"/>
    <n v="42.8"/>
    <n v="143"/>
    <n v="102"/>
  </r>
  <r>
    <s v="A00234"/>
    <s v="P0075"/>
    <x v="28"/>
    <n v="31.2"/>
    <n v="166"/>
    <n v="150"/>
  </r>
  <r>
    <s v="A00235"/>
    <s v="P0075"/>
    <x v="8"/>
    <n v="26"/>
    <n v="107"/>
    <n v="118"/>
  </r>
  <r>
    <s v="A00236"/>
    <s v="P0076"/>
    <x v="43"/>
    <n v="33"/>
    <n v="78"/>
    <n v="179"/>
  </r>
  <r>
    <s v="A00237"/>
    <s v="P0076"/>
    <x v="5"/>
    <n v="67"/>
    <n v="71"/>
    <n v="130"/>
  </r>
  <r>
    <s v="A00238"/>
    <s v="P0077"/>
    <x v="21"/>
    <n v="21.1"/>
    <n v="80"/>
    <n v="119"/>
  </r>
  <r>
    <s v="A00239"/>
    <s v="P0077"/>
    <x v="7"/>
    <n v="28"/>
    <n v="144"/>
    <n v="106"/>
  </r>
  <r>
    <s v="A00240"/>
    <s v="P0077"/>
    <x v="9"/>
    <n v="17.600000000000001"/>
    <n v="98"/>
    <n v="82"/>
  </r>
  <r>
    <s v="A00241"/>
    <s v="P0077"/>
    <x v="41"/>
    <n v="33.299999999999997"/>
    <n v="118"/>
    <n v="67"/>
  </r>
  <r>
    <s v="A00242"/>
    <s v="P0078"/>
    <x v="22"/>
    <n v="46.5"/>
    <n v="72"/>
    <n v="89"/>
  </r>
  <r>
    <s v="A00243"/>
    <s v="P0078"/>
    <x v="33"/>
    <n v="53.5"/>
    <n v="148"/>
    <n v="117"/>
  </r>
  <r>
    <s v="A00244"/>
    <s v="P0079"/>
    <x v="5"/>
    <n v="17.899999999999999"/>
    <n v="111"/>
    <n v="126"/>
  </r>
  <r>
    <s v="A00245"/>
    <s v="P0079"/>
    <x v="0"/>
    <n v="15.9"/>
    <n v="100"/>
    <n v="159"/>
  </r>
  <r>
    <s v="A00246"/>
    <s v="P0079"/>
    <x v="2"/>
    <n v="33.299999999999997"/>
    <n v="109"/>
    <n v="155"/>
  </r>
  <r>
    <s v="A00247"/>
    <s v="P0079"/>
    <x v="22"/>
    <n v="33"/>
    <n v="179"/>
    <n v="176"/>
  </r>
  <r>
    <s v="A00248"/>
    <s v="P0080"/>
    <x v="23"/>
    <n v="26"/>
    <n v="101"/>
    <n v="117"/>
  </r>
  <r>
    <s v="A00249"/>
    <s v="P0080"/>
    <x v="20"/>
    <n v="22.3"/>
    <n v="112"/>
    <n v="82"/>
  </r>
  <r>
    <s v="A00250"/>
    <s v="P0080"/>
    <x v="15"/>
    <n v="26.1"/>
    <n v="130"/>
    <n v="105"/>
  </r>
  <r>
    <s v="A00251"/>
    <s v="P0080"/>
    <x v="32"/>
    <n v="25.6"/>
    <n v="164"/>
    <n v="150"/>
  </r>
  <r>
    <s v="A00252"/>
    <s v="P0081"/>
    <x v="2"/>
    <n v="18.600000000000001"/>
    <n v="121"/>
    <n v="87"/>
  </r>
  <r>
    <s v="A00253"/>
    <s v="P0081"/>
    <x v="42"/>
    <n v="20.8"/>
    <n v="82"/>
    <n v="108"/>
  </r>
  <r>
    <s v="A00254"/>
    <s v="P0081"/>
    <x v="33"/>
    <n v="20"/>
    <n v="132"/>
    <n v="117"/>
  </r>
  <r>
    <s v="A00255"/>
    <s v="P0081"/>
    <x v="3"/>
    <n v="19.399999999999999"/>
    <n v="130"/>
    <n v="179"/>
  </r>
  <r>
    <s v="A00256"/>
    <s v="P0081"/>
    <x v="40"/>
    <n v="21.3"/>
    <n v="108"/>
    <n v="175"/>
  </r>
  <r>
    <s v="A00257"/>
    <s v="P0082"/>
    <x v="14"/>
    <n v="44.8"/>
    <n v="93"/>
    <n v="118"/>
  </r>
  <r>
    <s v="A00258"/>
    <s v="P0082"/>
    <x v="33"/>
    <n v="55.2"/>
    <n v="114"/>
    <n v="59"/>
  </r>
  <r>
    <s v="A00259"/>
    <s v="P0083"/>
    <x v="5"/>
    <n v="37.5"/>
    <n v="84"/>
    <n v="54"/>
  </r>
  <r>
    <s v="A00260"/>
    <s v="P0083"/>
    <x v="42"/>
    <n v="25.7"/>
    <n v="179"/>
    <n v="70"/>
  </r>
  <r>
    <s v="A00261"/>
    <s v="P0083"/>
    <x v="4"/>
    <n v="36.799999999999997"/>
    <n v="77"/>
    <n v="106"/>
  </r>
  <r>
    <s v="A00262"/>
    <s v="P0084"/>
    <x v="39"/>
    <n v="31.9"/>
    <n v="63"/>
    <n v="78"/>
  </r>
  <r>
    <s v="A00263"/>
    <s v="P0084"/>
    <x v="6"/>
    <n v="33.200000000000003"/>
    <n v="132"/>
    <n v="100"/>
  </r>
  <r>
    <s v="A00264"/>
    <s v="P0084"/>
    <x v="26"/>
    <n v="34.9"/>
    <n v="83"/>
    <n v="63"/>
  </r>
  <r>
    <s v="A00265"/>
    <s v="P0085"/>
    <x v="39"/>
    <n v="29.2"/>
    <n v="77"/>
    <n v="87"/>
  </r>
  <r>
    <s v="A00266"/>
    <s v="P0085"/>
    <x v="25"/>
    <n v="40.9"/>
    <n v="118"/>
    <n v="84"/>
  </r>
  <r>
    <s v="A00267"/>
    <s v="P0085"/>
    <x v="19"/>
    <n v="29.9"/>
    <n v="141"/>
    <n v="53"/>
  </r>
  <r>
    <s v="A00268"/>
    <s v="P0086"/>
    <x v="26"/>
    <n v="28.9"/>
    <n v="137"/>
    <n v="119"/>
  </r>
  <r>
    <s v="A00269"/>
    <s v="P0086"/>
    <x v="39"/>
    <n v="24.5"/>
    <n v="109"/>
    <n v="150"/>
  </r>
  <r>
    <s v="A00270"/>
    <s v="P0086"/>
    <x v="1"/>
    <n v="27.1"/>
    <n v="173"/>
    <n v="52"/>
  </r>
  <r>
    <s v="A00271"/>
    <s v="P0086"/>
    <x v="2"/>
    <n v="19.5"/>
    <n v="145"/>
    <n v="135"/>
  </r>
  <r>
    <s v="A00272"/>
    <s v="P0087"/>
    <x v="23"/>
    <n v="23.2"/>
    <n v="149"/>
    <n v="71"/>
  </r>
  <r>
    <s v="A00273"/>
    <s v="P0087"/>
    <x v="44"/>
    <n v="19"/>
    <n v="170"/>
    <n v="156"/>
  </r>
  <r>
    <s v="A00274"/>
    <s v="P0087"/>
    <x v="11"/>
    <n v="21.4"/>
    <n v="114"/>
    <n v="116"/>
  </r>
  <r>
    <s v="A00275"/>
    <s v="P0087"/>
    <x v="36"/>
    <n v="19"/>
    <n v="158"/>
    <n v="118"/>
  </r>
  <r>
    <s v="A00276"/>
    <s v="P0087"/>
    <x v="27"/>
    <n v="17.399999999999999"/>
    <n v="143"/>
    <n v="152"/>
  </r>
  <r>
    <s v="A00277"/>
    <s v="P0088"/>
    <x v="18"/>
    <n v="23.6"/>
    <n v="92"/>
    <n v="71"/>
  </r>
  <r>
    <s v="A00278"/>
    <s v="P0088"/>
    <x v="34"/>
    <n v="22.4"/>
    <n v="173"/>
    <n v="67"/>
  </r>
  <r>
    <s v="A00279"/>
    <s v="P0088"/>
    <x v="10"/>
    <n v="16.399999999999999"/>
    <n v="97"/>
    <n v="167"/>
  </r>
  <r>
    <s v="A00280"/>
    <s v="P0088"/>
    <x v="19"/>
    <n v="18.5"/>
    <n v="176"/>
    <n v="86"/>
  </r>
  <r>
    <s v="A00281"/>
    <s v="P0088"/>
    <x v="44"/>
    <n v="19"/>
    <n v="153"/>
    <n v="113"/>
  </r>
  <r>
    <s v="A00282"/>
    <s v="P0089"/>
    <x v="18"/>
    <n v="21.8"/>
    <n v="86"/>
    <n v="70"/>
  </r>
  <r>
    <s v="A00283"/>
    <s v="P0089"/>
    <x v="9"/>
    <n v="36.4"/>
    <n v="98"/>
    <n v="151"/>
  </r>
  <r>
    <s v="A00284"/>
    <s v="P0089"/>
    <x v="40"/>
    <n v="41.7"/>
    <n v="105"/>
    <n v="115"/>
  </r>
  <r>
    <s v="A00285"/>
    <s v="P0090"/>
    <x v="39"/>
    <n v="55.6"/>
    <n v="75"/>
    <n v="52"/>
  </r>
  <r>
    <s v="A00286"/>
    <s v="P0090"/>
    <x v="35"/>
    <n v="44.4"/>
    <n v="111"/>
    <n v="96"/>
  </r>
  <r>
    <s v="A00287"/>
    <s v="P0091"/>
    <x v="18"/>
    <n v="29.2"/>
    <n v="176"/>
    <n v="122"/>
  </r>
  <r>
    <s v="A00288"/>
    <s v="P0091"/>
    <x v="41"/>
    <n v="26.4"/>
    <n v="180"/>
    <n v="140"/>
  </r>
  <r>
    <s v="A00289"/>
    <s v="P0091"/>
    <x v="20"/>
    <n v="24.5"/>
    <n v="147"/>
    <n v="139"/>
  </r>
  <r>
    <s v="A00290"/>
    <s v="P0091"/>
    <x v="11"/>
    <n v="19.899999999999999"/>
    <n v="88"/>
    <n v="98"/>
  </r>
  <r>
    <s v="A00291"/>
    <s v="P0092"/>
    <x v="9"/>
    <n v="30.7"/>
    <n v="167"/>
    <n v="94"/>
  </r>
  <r>
    <s v="A00292"/>
    <s v="P0092"/>
    <x v="20"/>
    <n v="36.1"/>
    <n v="85"/>
    <n v="126"/>
  </r>
  <r>
    <s v="A00293"/>
    <s v="P0092"/>
    <x v="24"/>
    <n v="33.200000000000003"/>
    <n v="124"/>
    <n v="73"/>
  </r>
  <r>
    <s v="A00294"/>
    <s v="P0093"/>
    <x v="33"/>
    <n v="59.1"/>
    <n v="79"/>
    <n v="166"/>
  </r>
  <r>
    <s v="A00295"/>
    <s v="P0093"/>
    <x v="23"/>
    <n v="40.9"/>
    <n v="95"/>
    <n v="81"/>
  </r>
  <r>
    <s v="A00296"/>
    <s v="P0094"/>
    <x v="36"/>
    <n v="25.3"/>
    <n v="66"/>
    <n v="63"/>
  </r>
  <r>
    <s v="A00297"/>
    <s v="P0094"/>
    <x v="13"/>
    <n v="21.2"/>
    <n v="178"/>
    <n v="61"/>
  </r>
  <r>
    <s v="A00298"/>
    <s v="P0094"/>
    <x v="33"/>
    <n v="23.9"/>
    <n v="158"/>
    <n v="130"/>
  </r>
  <r>
    <s v="A00299"/>
    <s v="P0094"/>
    <x v="39"/>
    <n v="29.6"/>
    <n v="165"/>
    <n v="81"/>
  </r>
  <r>
    <s v="A00300"/>
    <s v="P0095"/>
    <x v="35"/>
    <n v="25.2"/>
    <n v="177"/>
    <n v="118"/>
  </r>
  <r>
    <s v="A00301"/>
    <s v="P0095"/>
    <x v="39"/>
    <n v="21.8"/>
    <n v="90"/>
    <n v="94"/>
  </r>
  <r>
    <s v="A00302"/>
    <s v="P0095"/>
    <x v="31"/>
    <n v="15.2"/>
    <n v="68"/>
    <n v="81"/>
  </r>
  <r>
    <s v="A00303"/>
    <s v="P0095"/>
    <x v="42"/>
    <n v="23.4"/>
    <n v="92"/>
    <n v="175"/>
  </r>
  <r>
    <s v="A00304"/>
    <s v="P0095"/>
    <x v="3"/>
    <n v="14.5"/>
    <n v="126"/>
    <n v="79"/>
  </r>
  <r>
    <s v="A00305"/>
    <s v="P0096"/>
    <x v="28"/>
    <n v="32.700000000000003"/>
    <n v="119"/>
    <n v="98"/>
  </r>
  <r>
    <s v="A00306"/>
    <s v="P0096"/>
    <x v="32"/>
    <n v="37.6"/>
    <n v="101"/>
    <n v="60"/>
  </r>
  <r>
    <s v="A00307"/>
    <s v="P0096"/>
    <x v="24"/>
    <n v="29.7"/>
    <n v="162"/>
    <n v="147"/>
  </r>
  <r>
    <s v="A00308"/>
    <s v="P0097"/>
    <x v="19"/>
    <n v="33.299999999999997"/>
    <n v="156"/>
    <n v="67"/>
  </r>
  <r>
    <s v="A00309"/>
    <s v="P0097"/>
    <x v="0"/>
    <n v="35.200000000000003"/>
    <n v="173"/>
    <n v="166"/>
  </r>
  <r>
    <s v="A00310"/>
    <s v="P0097"/>
    <x v="41"/>
    <n v="31.4"/>
    <n v="89"/>
    <n v="75"/>
  </r>
  <r>
    <s v="A00311"/>
    <s v="P0098"/>
    <x v="26"/>
    <n v="34.4"/>
    <n v="94"/>
    <n v="180"/>
  </r>
  <r>
    <s v="A00312"/>
    <s v="P0098"/>
    <x v="10"/>
    <n v="36.6"/>
    <n v="165"/>
    <n v="169"/>
  </r>
  <r>
    <s v="A00313"/>
    <s v="P0098"/>
    <x v="6"/>
    <n v="29.1"/>
    <n v="118"/>
    <n v="119"/>
  </r>
  <r>
    <s v="A00314"/>
    <s v="P0099"/>
    <x v="25"/>
    <n v="28.4"/>
    <n v="137"/>
    <n v="74"/>
  </r>
  <r>
    <s v="A00315"/>
    <s v="P0099"/>
    <x v="10"/>
    <n v="29.4"/>
    <n v="107"/>
    <n v="114"/>
  </r>
  <r>
    <s v="A00316"/>
    <s v="P0099"/>
    <x v="8"/>
    <n v="42.1"/>
    <n v="112"/>
    <n v="116"/>
  </r>
  <r>
    <s v="A00317"/>
    <s v="P0100"/>
    <x v="19"/>
    <n v="30.7"/>
    <n v="111"/>
    <n v="134"/>
  </r>
  <r>
    <s v="A00318"/>
    <s v="P0100"/>
    <x v="14"/>
    <n v="44.8"/>
    <n v="152"/>
    <n v="69"/>
  </r>
  <r>
    <s v="A00319"/>
    <s v="P0100"/>
    <x v="6"/>
    <n v="24.5"/>
    <n v="120"/>
    <n v="87"/>
  </r>
  <r>
    <s v="A00320"/>
    <s v="P0101"/>
    <x v="30"/>
    <n v="24.9"/>
    <n v="95"/>
    <n v="112"/>
  </r>
  <r>
    <s v="A00321"/>
    <s v="P0101"/>
    <x v="18"/>
    <n v="31.1"/>
    <n v="128"/>
    <n v="123"/>
  </r>
  <r>
    <s v="A00322"/>
    <s v="P0101"/>
    <x v="26"/>
    <n v="27.2"/>
    <n v="83"/>
    <n v="98"/>
  </r>
  <r>
    <s v="A00323"/>
    <s v="P0101"/>
    <x v="31"/>
    <n v="16.899999999999999"/>
    <n v="77"/>
    <n v="56"/>
  </r>
  <r>
    <s v="A00324"/>
    <s v="P0102"/>
    <x v="32"/>
    <n v="26.4"/>
    <n v="153"/>
    <n v="176"/>
  </r>
  <r>
    <s v="A00325"/>
    <s v="P0102"/>
    <x v="5"/>
    <n v="28.3"/>
    <n v="172"/>
    <n v="129"/>
  </r>
  <r>
    <s v="A00326"/>
    <s v="P0102"/>
    <x v="28"/>
    <n v="45.3"/>
    <n v="66"/>
    <n v="65"/>
  </r>
  <r>
    <s v="A00327"/>
    <s v="P0103"/>
    <x v="25"/>
    <n v="22.8"/>
    <n v="177"/>
    <n v="140"/>
  </r>
  <r>
    <s v="A00328"/>
    <s v="P0103"/>
    <x v="26"/>
    <n v="28.1"/>
    <n v="84"/>
    <n v="81"/>
  </r>
  <r>
    <s v="A00329"/>
    <s v="P0103"/>
    <x v="35"/>
    <n v="19.899999999999999"/>
    <n v="175"/>
    <n v="131"/>
  </r>
  <r>
    <s v="A00330"/>
    <s v="P0103"/>
    <x v="19"/>
    <n v="29.3"/>
    <n v="169"/>
    <n v="86"/>
  </r>
  <r>
    <s v="A00331"/>
    <s v="P0104"/>
    <x v="40"/>
    <n v="21.2"/>
    <n v="122"/>
    <n v="157"/>
  </r>
  <r>
    <s v="A00332"/>
    <s v="P0104"/>
    <x v="7"/>
    <n v="38.700000000000003"/>
    <n v="135"/>
    <n v="116"/>
  </r>
  <r>
    <s v="A00333"/>
    <s v="P0104"/>
    <x v="9"/>
    <n v="19.8"/>
    <n v="112"/>
    <n v="127"/>
  </r>
  <r>
    <s v="A00334"/>
    <s v="P0104"/>
    <x v="24"/>
    <n v="20.3"/>
    <n v="115"/>
    <n v="124"/>
  </r>
  <r>
    <s v="A00335"/>
    <s v="P0105"/>
    <x v="20"/>
    <n v="54.4"/>
    <n v="103"/>
    <n v="119"/>
  </r>
  <r>
    <s v="A00336"/>
    <s v="P0105"/>
    <x v="6"/>
    <n v="45.6"/>
    <n v="174"/>
    <n v="137"/>
  </r>
  <r>
    <s v="A00337"/>
    <s v="P0106"/>
    <x v="2"/>
    <n v="40.5"/>
    <n v="162"/>
    <n v="112"/>
  </r>
  <r>
    <s v="A00338"/>
    <s v="P0106"/>
    <x v="24"/>
    <n v="59.5"/>
    <n v="106"/>
    <n v="75"/>
  </r>
  <r>
    <s v="A00339"/>
    <s v="P0107"/>
    <x v="31"/>
    <n v="49.8"/>
    <n v="86"/>
    <n v="153"/>
  </r>
  <r>
    <s v="A00340"/>
    <s v="P0107"/>
    <x v="7"/>
    <n v="50.2"/>
    <n v="133"/>
    <n v="117"/>
  </r>
  <r>
    <s v="A00341"/>
    <s v="P0108"/>
    <x v="8"/>
    <n v="40.700000000000003"/>
    <n v="179"/>
    <n v="136"/>
  </r>
  <r>
    <s v="A00342"/>
    <s v="P0108"/>
    <x v="44"/>
    <n v="35.4"/>
    <n v="94"/>
    <n v="103"/>
  </r>
  <r>
    <s v="A00343"/>
    <s v="P0108"/>
    <x v="3"/>
    <n v="23.9"/>
    <n v="143"/>
    <n v="74"/>
  </r>
  <r>
    <s v="A00344"/>
    <s v="P0109"/>
    <x v="43"/>
    <n v="26.4"/>
    <n v="108"/>
    <n v="60"/>
  </r>
  <r>
    <s v="A00345"/>
    <s v="P0109"/>
    <x v="12"/>
    <n v="32.200000000000003"/>
    <n v="121"/>
    <n v="167"/>
  </r>
  <r>
    <s v="A00346"/>
    <s v="P0109"/>
    <x v="20"/>
    <n v="41.4"/>
    <n v="95"/>
    <n v="88"/>
  </r>
  <r>
    <s v="A00347"/>
    <s v="P0110"/>
    <x v="30"/>
    <n v="29.8"/>
    <n v="74"/>
    <n v="82"/>
  </r>
  <r>
    <s v="A00348"/>
    <s v="P0110"/>
    <x v="33"/>
    <n v="40.799999999999997"/>
    <n v="79"/>
    <n v="150"/>
  </r>
  <r>
    <s v="A00349"/>
    <s v="P0110"/>
    <x v="36"/>
    <n v="29.5"/>
    <n v="132"/>
    <n v="72"/>
  </r>
  <r>
    <s v="A00350"/>
    <s v="P0111"/>
    <x v="5"/>
    <n v="17.3"/>
    <n v="152"/>
    <n v="154"/>
  </r>
  <r>
    <s v="A00351"/>
    <s v="P0111"/>
    <x v="19"/>
    <n v="14.9"/>
    <n v="159"/>
    <n v="139"/>
  </r>
  <r>
    <s v="A00352"/>
    <s v="P0111"/>
    <x v="22"/>
    <n v="21.5"/>
    <n v="90"/>
    <n v="93"/>
  </r>
  <r>
    <s v="A00353"/>
    <s v="P0111"/>
    <x v="15"/>
    <n v="21.5"/>
    <n v="119"/>
    <n v="125"/>
  </r>
  <r>
    <s v="A00354"/>
    <s v="P0111"/>
    <x v="10"/>
    <n v="24.8"/>
    <n v="178"/>
    <n v="128"/>
  </r>
  <r>
    <s v="A00355"/>
    <s v="P0112"/>
    <x v="31"/>
    <n v="52.3"/>
    <n v="93"/>
    <n v="171"/>
  </r>
  <r>
    <s v="A00356"/>
    <s v="P0112"/>
    <x v="1"/>
    <n v="47.7"/>
    <n v="172"/>
    <n v="111"/>
  </r>
  <r>
    <s v="A00357"/>
    <s v="P0113"/>
    <x v="40"/>
    <n v="41.1"/>
    <n v="107"/>
    <n v="88"/>
  </r>
  <r>
    <s v="A00358"/>
    <s v="P0113"/>
    <x v="43"/>
    <n v="24.1"/>
    <n v="108"/>
    <n v="162"/>
  </r>
  <r>
    <s v="A00359"/>
    <s v="P0113"/>
    <x v="13"/>
    <n v="34.799999999999997"/>
    <n v="71"/>
    <n v="120"/>
  </r>
  <r>
    <s v="A00360"/>
    <s v="P0114"/>
    <x v="33"/>
    <n v="29.7"/>
    <n v="140"/>
    <n v="173"/>
  </r>
  <r>
    <s v="A00361"/>
    <s v="P0114"/>
    <x v="39"/>
    <n v="41.2"/>
    <n v="78"/>
    <n v="151"/>
  </r>
  <r>
    <s v="A00362"/>
    <s v="P0114"/>
    <x v="38"/>
    <n v="29.1"/>
    <n v="67"/>
    <n v="126"/>
  </r>
  <r>
    <s v="A00363"/>
    <s v="P0115"/>
    <x v="3"/>
    <n v="25.8"/>
    <n v="145"/>
    <n v="51"/>
  </r>
  <r>
    <s v="A00364"/>
    <s v="P0115"/>
    <x v="0"/>
    <n v="23.1"/>
    <n v="178"/>
    <n v="135"/>
  </r>
  <r>
    <s v="A00365"/>
    <s v="P0115"/>
    <x v="7"/>
    <n v="30.4"/>
    <n v="64"/>
    <n v="53"/>
  </r>
  <r>
    <s v="A00366"/>
    <s v="P0115"/>
    <x v="2"/>
    <n v="20.7"/>
    <n v="95"/>
    <n v="55"/>
  </r>
  <r>
    <s v="A00367"/>
    <s v="P0116"/>
    <x v="37"/>
    <n v="29.3"/>
    <n v="103"/>
    <n v="89"/>
  </r>
  <r>
    <s v="A00368"/>
    <s v="P0116"/>
    <x v="19"/>
    <n v="32.9"/>
    <n v="108"/>
    <n v="134"/>
  </r>
  <r>
    <s v="A00369"/>
    <s v="P0116"/>
    <x v="33"/>
    <n v="17"/>
    <n v="116"/>
    <n v="136"/>
  </r>
  <r>
    <s v="A00370"/>
    <s v="P0116"/>
    <x v="35"/>
    <n v="20.9"/>
    <n v="143"/>
    <n v="170"/>
  </r>
  <r>
    <s v="A00371"/>
    <s v="P0117"/>
    <x v="9"/>
    <n v="26.2"/>
    <n v="115"/>
    <n v="177"/>
  </r>
  <r>
    <s v="A00372"/>
    <s v="P0117"/>
    <x v="21"/>
    <n v="34"/>
    <n v="90"/>
    <n v="104"/>
  </r>
  <r>
    <s v="A00373"/>
    <s v="P0117"/>
    <x v="12"/>
    <n v="39.799999999999997"/>
    <n v="164"/>
    <n v="59"/>
  </r>
  <r>
    <s v="A00374"/>
    <s v="P0118"/>
    <x v="0"/>
    <n v="33.1"/>
    <n v="128"/>
    <n v="73"/>
  </r>
  <r>
    <s v="A00375"/>
    <s v="P0118"/>
    <x v="6"/>
    <n v="29.1"/>
    <n v="119"/>
    <n v="144"/>
  </r>
  <r>
    <s v="A00376"/>
    <s v="P0118"/>
    <x v="42"/>
    <n v="37.799999999999997"/>
    <n v="114"/>
    <n v="73"/>
  </r>
  <r>
    <s v="A00377"/>
    <s v="P0119"/>
    <x v="1"/>
    <n v="30.1"/>
    <n v="135"/>
    <n v="155"/>
  </r>
  <r>
    <s v="A00378"/>
    <s v="P0119"/>
    <x v="6"/>
    <n v="35.799999999999997"/>
    <n v="102"/>
    <n v="97"/>
  </r>
  <r>
    <s v="A00379"/>
    <s v="P0119"/>
    <x v="30"/>
    <n v="34.1"/>
    <n v="170"/>
    <n v="56"/>
  </r>
  <r>
    <s v="A00380"/>
    <s v="P0120"/>
    <x v="37"/>
    <n v="23.3"/>
    <n v="164"/>
    <n v="113"/>
  </r>
  <r>
    <s v="A00381"/>
    <s v="P0120"/>
    <x v="10"/>
    <n v="36.5"/>
    <n v="100"/>
    <n v="120"/>
  </r>
  <r>
    <s v="A00382"/>
    <s v="P0120"/>
    <x v="30"/>
    <n v="40.299999999999997"/>
    <n v="115"/>
    <n v="74"/>
  </r>
  <r>
    <s v="A00383"/>
    <s v="P0121"/>
    <x v="6"/>
    <n v="53.8"/>
    <n v="157"/>
    <n v="110"/>
  </r>
  <r>
    <s v="A00384"/>
    <s v="P0121"/>
    <x v="34"/>
    <n v="46.2"/>
    <n v="69"/>
    <n v="133"/>
  </r>
  <r>
    <s v="A00385"/>
    <s v="P0122"/>
    <x v="35"/>
    <n v="40.5"/>
    <n v="133"/>
    <n v="143"/>
  </r>
  <r>
    <s v="A00386"/>
    <s v="P0122"/>
    <x v="34"/>
    <n v="28.4"/>
    <n v="81"/>
    <n v="119"/>
  </r>
  <r>
    <s v="A00387"/>
    <s v="P0122"/>
    <x v="6"/>
    <n v="31.1"/>
    <n v="173"/>
    <n v="179"/>
  </r>
  <r>
    <s v="A00388"/>
    <s v="P0123"/>
    <x v="28"/>
    <n v="50.8"/>
    <n v="85"/>
    <n v="105"/>
  </r>
  <r>
    <s v="A00389"/>
    <s v="P0123"/>
    <x v="35"/>
    <n v="49.2"/>
    <n v="81"/>
    <n v="138"/>
  </r>
  <r>
    <s v="A00390"/>
    <s v="P0124"/>
    <x v="17"/>
    <n v="21.5"/>
    <n v="108"/>
    <n v="103"/>
  </r>
  <r>
    <s v="A00391"/>
    <s v="P0124"/>
    <x v="3"/>
    <n v="18.8"/>
    <n v="90"/>
    <n v="107"/>
  </r>
  <r>
    <s v="A00392"/>
    <s v="P0124"/>
    <x v="0"/>
    <n v="19.3"/>
    <n v="163"/>
    <n v="177"/>
  </r>
  <r>
    <s v="A00393"/>
    <s v="P0124"/>
    <x v="9"/>
    <n v="17.8"/>
    <n v="141"/>
    <n v="74"/>
  </r>
  <r>
    <s v="A00394"/>
    <s v="P0124"/>
    <x v="27"/>
    <n v="22.7"/>
    <n v="122"/>
    <n v="68"/>
  </r>
  <r>
    <s v="A00395"/>
    <s v="P0125"/>
    <x v="16"/>
    <n v="22.8"/>
    <n v="136"/>
    <n v="77"/>
  </r>
  <r>
    <s v="A00396"/>
    <s v="P0125"/>
    <x v="8"/>
    <n v="27.3"/>
    <n v="176"/>
    <n v="115"/>
  </r>
  <r>
    <s v="A00397"/>
    <s v="P0125"/>
    <x v="32"/>
    <n v="18.2"/>
    <n v="69"/>
    <n v="175"/>
  </r>
  <r>
    <s v="A00398"/>
    <s v="P0125"/>
    <x v="43"/>
    <n v="31.7"/>
    <n v="145"/>
    <n v="107"/>
  </r>
  <r>
    <s v="A00399"/>
    <s v="P0126"/>
    <x v="44"/>
    <n v="35.1"/>
    <n v="147"/>
    <n v="106"/>
  </r>
  <r>
    <s v="A00400"/>
    <s v="P0126"/>
    <x v="21"/>
    <n v="32.200000000000003"/>
    <n v="142"/>
    <n v="115"/>
  </r>
  <r>
    <s v="A00401"/>
    <s v="P0126"/>
    <x v="31"/>
    <n v="32.799999999999997"/>
    <n v="81"/>
    <n v="69"/>
  </r>
  <r>
    <s v="A00402"/>
    <s v="P0127"/>
    <x v="30"/>
    <n v="24.8"/>
    <n v="86"/>
    <n v="100"/>
  </r>
  <r>
    <s v="A00403"/>
    <s v="P0127"/>
    <x v="33"/>
    <n v="22.5"/>
    <n v="123"/>
    <n v="101"/>
  </r>
  <r>
    <s v="A00404"/>
    <s v="P0127"/>
    <x v="16"/>
    <n v="23.8"/>
    <n v="140"/>
    <n v="87"/>
  </r>
  <r>
    <s v="A00405"/>
    <s v="P0127"/>
    <x v="4"/>
    <n v="28.8"/>
    <n v="159"/>
    <n v="100"/>
  </r>
  <r>
    <s v="A00406"/>
    <s v="P0128"/>
    <x v="1"/>
    <n v="22.5"/>
    <n v="138"/>
    <n v="139"/>
  </r>
  <r>
    <s v="A00407"/>
    <s v="P0128"/>
    <x v="35"/>
    <n v="18.5"/>
    <n v="106"/>
    <n v="63"/>
  </r>
  <r>
    <s v="A00408"/>
    <s v="P0128"/>
    <x v="33"/>
    <n v="36"/>
    <n v="152"/>
    <n v="160"/>
  </r>
  <r>
    <s v="A00409"/>
    <s v="P0128"/>
    <x v="20"/>
    <n v="23.1"/>
    <n v="114"/>
    <n v="132"/>
  </r>
  <r>
    <s v="A00410"/>
    <s v="P0129"/>
    <x v="41"/>
    <n v="31.9"/>
    <n v="163"/>
    <n v="102"/>
  </r>
  <r>
    <s v="A00411"/>
    <s v="P0129"/>
    <x v="5"/>
    <n v="29.2"/>
    <n v="137"/>
    <n v="168"/>
  </r>
  <r>
    <s v="A00412"/>
    <s v="P0129"/>
    <x v="32"/>
    <n v="38.9"/>
    <n v="133"/>
    <n v="103"/>
  </r>
  <r>
    <s v="A00413"/>
    <s v="P0130"/>
    <x v="38"/>
    <n v="31.2"/>
    <n v="72"/>
    <n v="180"/>
  </r>
  <r>
    <s v="A00414"/>
    <s v="P0130"/>
    <x v="21"/>
    <n v="45.1"/>
    <n v="94"/>
    <n v="70"/>
  </r>
  <r>
    <s v="A00415"/>
    <s v="P0130"/>
    <x v="7"/>
    <n v="23.6"/>
    <n v="123"/>
    <n v="144"/>
  </r>
  <r>
    <s v="A00416"/>
    <s v="P0131"/>
    <x v="10"/>
    <n v="30.5"/>
    <n v="87"/>
    <n v="169"/>
  </r>
  <r>
    <s v="A00417"/>
    <s v="P0131"/>
    <x v="40"/>
    <n v="31.2"/>
    <n v="141"/>
    <n v="149"/>
  </r>
  <r>
    <s v="A00418"/>
    <s v="P0131"/>
    <x v="8"/>
    <n v="38.200000000000003"/>
    <n v="165"/>
    <n v="66"/>
  </r>
  <r>
    <s v="A00419"/>
    <s v="P0132"/>
    <x v="17"/>
    <n v="18.2"/>
    <n v="100"/>
    <n v="149"/>
  </r>
  <r>
    <s v="A00420"/>
    <s v="P0132"/>
    <x v="26"/>
    <n v="23.8"/>
    <n v="86"/>
    <n v="118"/>
  </r>
  <r>
    <s v="A00421"/>
    <s v="P0132"/>
    <x v="1"/>
    <n v="22"/>
    <n v="116"/>
    <n v="66"/>
  </r>
  <r>
    <s v="A00422"/>
    <s v="P0132"/>
    <x v="38"/>
    <n v="14.4"/>
    <n v="175"/>
    <n v="120"/>
  </r>
  <r>
    <s v="A00423"/>
    <s v="P0132"/>
    <x v="32"/>
    <n v="21.6"/>
    <n v="150"/>
    <n v="96"/>
  </r>
  <r>
    <s v="A00424"/>
    <s v="P0133"/>
    <x v="6"/>
    <n v="12"/>
    <n v="95"/>
    <n v="105"/>
  </r>
  <r>
    <s v="A00425"/>
    <s v="P0133"/>
    <x v="43"/>
    <n v="22.9"/>
    <n v="170"/>
    <n v="70"/>
  </r>
  <r>
    <s v="A00426"/>
    <s v="P0133"/>
    <x v="23"/>
    <n v="20.3"/>
    <n v="72"/>
    <n v="58"/>
  </r>
  <r>
    <s v="A00427"/>
    <s v="P0133"/>
    <x v="17"/>
    <n v="20.8"/>
    <n v="70"/>
    <n v="119"/>
  </r>
  <r>
    <s v="A00428"/>
    <s v="P0133"/>
    <x v="42"/>
    <n v="24.1"/>
    <n v="60"/>
    <n v="167"/>
  </r>
  <r>
    <s v="A00429"/>
    <s v="P0134"/>
    <x v="26"/>
    <n v="25"/>
    <n v="119"/>
    <n v="51"/>
  </r>
  <r>
    <s v="A00430"/>
    <s v="P0134"/>
    <x v="41"/>
    <n v="43.5"/>
    <n v="132"/>
    <n v="159"/>
  </r>
  <r>
    <s v="A00431"/>
    <s v="P0134"/>
    <x v="15"/>
    <n v="31.5"/>
    <n v="95"/>
    <n v="110"/>
  </r>
  <r>
    <s v="A00432"/>
    <s v="P0135"/>
    <x v="39"/>
    <n v="20"/>
    <n v="176"/>
    <n v="92"/>
  </r>
  <r>
    <s v="A00433"/>
    <s v="P0135"/>
    <x v="33"/>
    <n v="35.299999999999997"/>
    <n v="171"/>
    <n v="164"/>
  </r>
  <r>
    <s v="A00434"/>
    <s v="P0135"/>
    <x v="18"/>
    <n v="23.4"/>
    <n v="86"/>
    <n v="86"/>
  </r>
  <r>
    <s v="A00435"/>
    <s v="P0135"/>
    <x v="4"/>
    <n v="21.3"/>
    <n v="105"/>
    <n v="162"/>
  </r>
  <r>
    <s v="A00436"/>
    <s v="P0136"/>
    <x v="5"/>
    <n v="44.9"/>
    <n v="90"/>
    <n v="82"/>
  </r>
  <r>
    <s v="A00437"/>
    <s v="P0136"/>
    <x v="18"/>
    <n v="55.1"/>
    <n v="137"/>
    <n v="129"/>
  </r>
  <r>
    <s v="A00438"/>
    <s v="P0137"/>
    <x v="39"/>
    <n v="59.3"/>
    <n v="112"/>
    <n v="165"/>
  </r>
  <r>
    <s v="A00439"/>
    <s v="P0137"/>
    <x v="30"/>
    <n v="40.700000000000003"/>
    <n v="110"/>
    <n v="53"/>
  </r>
  <r>
    <s v="A00440"/>
    <s v="P0138"/>
    <x v="17"/>
    <n v="34.1"/>
    <n v="177"/>
    <n v="71"/>
  </r>
  <r>
    <s v="A00441"/>
    <s v="P0138"/>
    <x v="15"/>
    <n v="33.5"/>
    <n v="137"/>
    <n v="162"/>
  </r>
  <r>
    <s v="A00442"/>
    <s v="P0138"/>
    <x v="11"/>
    <n v="32.4"/>
    <n v="116"/>
    <n v="172"/>
  </r>
  <r>
    <s v="A00443"/>
    <s v="P0139"/>
    <x v="31"/>
    <n v="41.2"/>
    <n v="119"/>
    <n v="145"/>
  </r>
  <r>
    <s v="A00444"/>
    <s v="P0139"/>
    <x v="26"/>
    <n v="28.2"/>
    <n v="115"/>
    <n v="102"/>
  </r>
  <r>
    <s v="A00445"/>
    <s v="P0139"/>
    <x v="42"/>
    <n v="30.6"/>
    <n v="66"/>
    <n v="146"/>
  </r>
  <r>
    <s v="A00446"/>
    <s v="P0140"/>
    <x v="28"/>
    <n v="23.9"/>
    <n v="130"/>
    <n v="161"/>
  </r>
  <r>
    <s v="A00447"/>
    <s v="P0140"/>
    <x v="35"/>
    <n v="37.9"/>
    <n v="80"/>
    <n v="138"/>
  </r>
  <r>
    <s v="A00448"/>
    <s v="P0140"/>
    <x v="8"/>
    <n v="20.7"/>
    <n v="106"/>
    <n v="134"/>
  </r>
  <r>
    <s v="A00449"/>
    <s v="P0140"/>
    <x v="26"/>
    <n v="17.5"/>
    <n v="98"/>
    <n v="177"/>
  </r>
  <r>
    <s v="A00450"/>
    <s v="P0141"/>
    <x v="27"/>
    <n v="38.1"/>
    <n v="73"/>
    <n v="82"/>
  </r>
  <r>
    <s v="A00451"/>
    <s v="P0141"/>
    <x v="44"/>
    <n v="25"/>
    <n v="69"/>
    <n v="129"/>
  </r>
  <r>
    <s v="A00452"/>
    <s v="P0141"/>
    <x v="23"/>
    <n v="36.9"/>
    <n v="123"/>
    <n v="113"/>
  </r>
  <r>
    <s v="A00453"/>
    <s v="P0142"/>
    <x v="26"/>
    <n v="39.9"/>
    <n v="162"/>
    <n v="65"/>
  </r>
  <r>
    <s v="A00454"/>
    <s v="P0142"/>
    <x v="19"/>
    <n v="60.1"/>
    <n v="139"/>
    <n v="87"/>
  </r>
  <r>
    <s v="A00455"/>
    <s v="P0143"/>
    <x v="43"/>
    <n v="21.3"/>
    <n v="75"/>
    <n v="90"/>
  </r>
  <r>
    <s v="A00456"/>
    <s v="P0143"/>
    <x v="37"/>
    <n v="28"/>
    <n v="157"/>
    <n v="177"/>
  </r>
  <r>
    <s v="A00457"/>
    <s v="P0143"/>
    <x v="27"/>
    <n v="17.100000000000001"/>
    <n v="160"/>
    <n v="110"/>
  </r>
  <r>
    <s v="A00458"/>
    <s v="P0143"/>
    <x v="25"/>
    <n v="33.700000000000003"/>
    <n v="145"/>
    <n v="167"/>
  </r>
  <r>
    <s v="A00459"/>
    <s v="P0144"/>
    <x v="29"/>
    <n v="19.5"/>
    <n v="159"/>
    <n v="64"/>
  </r>
  <r>
    <s v="A00460"/>
    <s v="P0144"/>
    <x v="41"/>
    <n v="39.6"/>
    <n v="163"/>
    <n v="142"/>
  </r>
  <r>
    <s v="A00461"/>
    <s v="P0144"/>
    <x v="2"/>
    <n v="40.9"/>
    <n v="89"/>
    <n v="152"/>
  </r>
  <r>
    <s v="A00462"/>
    <s v="P0145"/>
    <x v="9"/>
    <n v="38.299999999999997"/>
    <n v="78"/>
    <n v="50"/>
  </r>
  <r>
    <s v="A00463"/>
    <s v="P0145"/>
    <x v="30"/>
    <n v="31"/>
    <n v="99"/>
    <n v="71"/>
  </r>
  <r>
    <s v="A00464"/>
    <s v="P0145"/>
    <x v="2"/>
    <n v="30.7"/>
    <n v="171"/>
    <n v="89"/>
  </r>
  <r>
    <s v="A00465"/>
    <s v="P0146"/>
    <x v="6"/>
    <n v="51.3"/>
    <n v="101"/>
    <n v="110"/>
  </r>
  <r>
    <s v="A00466"/>
    <s v="P0146"/>
    <x v="34"/>
    <n v="48.7"/>
    <n v="105"/>
    <n v="138"/>
  </r>
  <r>
    <s v="A00467"/>
    <s v="P0147"/>
    <x v="20"/>
    <n v="22.2"/>
    <n v="165"/>
    <n v="52"/>
  </r>
  <r>
    <s v="A00468"/>
    <s v="P0147"/>
    <x v="6"/>
    <n v="33.799999999999997"/>
    <n v="150"/>
    <n v="101"/>
  </r>
  <r>
    <s v="A00469"/>
    <s v="P0147"/>
    <x v="17"/>
    <n v="26.1"/>
    <n v="164"/>
    <n v="77"/>
  </r>
  <r>
    <s v="A00470"/>
    <s v="P0147"/>
    <x v="18"/>
    <n v="17.899999999999999"/>
    <n v="129"/>
    <n v="106"/>
  </r>
  <r>
    <s v="A00471"/>
    <s v="P0148"/>
    <x v="10"/>
    <n v="32.799999999999997"/>
    <n v="107"/>
    <n v="133"/>
  </r>
  <r>
    <s v="A00472"/>
    <s v="P0148"/>
    <x v="5"/>
    <n v="40.4"/>
    <n v="173"/>
    <n v="50"/>
  </r>
  <r>
    <s v="A00473"/>
    <s v="P0148"/>
    <x v="39"/>
    <n v="26.8"/>
    <n v="62"/>
    <n v="135"/>
  </r>
  <r>
    <s v="A00474"/>
    <s v="P0149"/>
    <x v="2"/>
    <n v="29.7"/>
    <n v="125"/>
    <n v="159"/>
  </r>
  <r>
    <s v="A00475"/>
    <s v="P0149"/>
    <x v="10"/>
    <n v="29.4"/>
    <n v="152"/>
    <n v="163"/>
  </r>
  <r>
    <s v="A00476"/>
    <s v="P0149"/>
    <x v="41"/>
    <n v="18.399999999999999"/>
    <n v="171"/>
    <n v="53"/>
  </r>
  <r>
    <s v="A00477"/>
    <s v="P0149"/>
    <x v="29"/>
    <n v="22.6"/>
    <n v="180"/>
    <n v="75"/>
  </r>
  <r>
    <s v="A00478"/>
    <s v="P0150"/>
    <x v="19"/>
    <n v="44.5"/>
    <n v="177"/>
    <n v="168"/>
  </r>
  <r>
    <s v="A00479"/>
    <s v="P0150"/>
    <x v="35"/>
    <n v="24.3"/>
    <n v="110"/>
    <n v="130"/>
  </r>
  <r>
    <s v="A00480"/>
    <s v="P0150"/>
    <x v="6"/>
    <n v="31.2"/>
    <n v="95"/>
    <n v="116"/>
  </r>
  <r>
    <s v="A00481"/>
    <s v="P0151"/>
    <x v="40"/>
    <n v="26.2"/>
    <n v="130"/>
    <n v="73"/>
  </r>
  <r>
    <s v="A00482"/>
    <s v="P0151"/>
    <x v="30"/>
    <n v="27.2"/>
    <n v="175"/>
    <n v="117"/>
  </r>
  <r>
    <s v="A00483"/>
    <s v="P0151"/>
    <x v="44"/>
    <n v="21.3"/>
    <n v="152"/>
    <n v="93"/>
  </r>
  <r>
    <s v="A00484"/>
    <s v="P0151"/>
    <x v="6"/>
    <n v="25.3"/>
    <n v="64"/>
    <n v="104"/>
  </r>
  <r>
    <s v="A00485"/>
    <s v="P0152"/>
    <x v="5"/>
    <n v="30.3"/>
    <n v="179"/>
    <n v="72"/>
  </r>
  <r>
    <s v="A00486"/>
    <s v="P0152"/>
    <x v="12"/>
    <n v="32.9"/>
    <n v="115"/>
    <n v="97"/>
  </r>
  <r>
    <s v="A00487"/>
    <s v="P0152"/>
    <x v="33"/>
    <n v="36.799999999999997"/>
    <n v="79"/>
    <n v="51"/>
  </r>
  <r>
    <s v="A00488"/>
    <s v="P0153"/>
    <x v="27"/>
    <n v="30.5"/>
    <n v="174"/>
    <n v="82"/>
  </r>
  <r>
    <s v="A00489"/>
    <s v="P0153"/>
    <x v="40"/>
    <n v="30.3"/>
    <n v="121"/>
    <n v="96"/>
  </r>
  <r>
    <s v="A00490"/>
    <s v="P0153"/>
    <x v="20"/>
    <n v="20.9"/>
    <n v="154"/>
    <n v="84"/>
  </r>
  <r>
    <s v="A00491"/>
    <s v="P0153"/>
    <x v="12"/>
    <n v="18.2"/>
    <n v="124"/>
    <n v="125"/>
  </r>
  <r>
    <s v="A00492"/>
    <s v="P0154"/>
    <x v="11"/>
    <n v="60.4"/>
    <n v="119"/>
    <n v="58"/>
  </r>
  <r>
    <s v="A00493"/>
    <s v="P0154"/>
    <x v="0"/>
    <n v="39.6"/>
    <n v="173"/>
    <n v="85"/>
  </r>
  <r>
    <s v="A00494"/>
    <s v="P0155"/>
    <x v="34"/>
    <n v="19.7"/>
    <n v="98"/>
    <n v="122"/>
  </r>
  <r>
    <s v="A00495"/>
    <s v="P0155"/>
    <x v="28"/>
    <n v="30.9"/>
    <n v="78"/>
    <n v="103"/>
  </r>
  <r>
    <s v="A00496"/>
    <s v="P0155"/>
    <x v="13"/>
    <n v="19"/>
    <n v="84"/>
    <n v="161"/>
  </r>
  <r>
    <s v="A00497"/>
    <s v="P0155"/>
    <x v="12"/>
    <n v="30.4"/>
    <n v="77"/>
    <n v="166"/>
  </r>
  <r>
    <s v="A00498"/>
    <s v="P0156"/>
    <x v="27"/>
    <n v="20.399999999999999"/>
    <n v="93"/>
    <n v="119"/>
  </r>
  <r>
    <s v="A00499"/>
    <s v="P0156"/>
    <x v="37"/>
    <n v="24.7"/>
    <n v="102"/>
    <n v="159"/>
  </r>
  <r>
    <s v="A00500"/>
    <s v="P0156"/>
    <x v="8"/>
    <n v="24.9"/>
    <n v="75"/>
    <n v="108"/>
  </r>
  <r>
    <s v="A00501"/>
    <s v="P0156"/>
    <x v="25"/>
    <n v="29.9"/>
    <n v="112"/>
    <n v="68"/>
  </r>
  <r>
    <s v="A00502"/>
    <s v="P0157"/>
    <x v="38"/>
    <n v="49.1"/>
    <n v="88"/>
    <n v="129"/>
  </r>
  <r>
    <s v="A00503"/>
    <s v="P0157"/>
    <x v="41"/>
    <n v="50.9"/>
    <n v="70"/>
    <n v="172"/>
  </r>
  <r>
    <s v="A00504"/>
    <s v="P0158"/>
    <x v="25"/>
    <n v="28.3"/>
    <n v="128"/>
    <n v="135"/>
  </r>
  <r>
    <s v="A00505"/>
    <s v="P0158"/>
    <x v="5"/>
    <n v="34.9"/>
    <n v="77"/>
    <n v="130"/>
  </r>
  <r>
    <s v="A00506"/>
    <s v="P0158"/>
    <x v="0"/>
    <n v="36.799999999999997"/>
    <n v="173"/>
    <n v="163"/>
  </r>
  <r>
    <s v="A00507"/>
    <s v="P0159"/>
    <x v="32"/>
    <n v="24.8"/>
    <n v="68"/>
    <n v="146"/>
  </r>
  <r>
    <s v="A00508"/>
    <s v="P0159"/>
    <x v="26"/>
    <n v="30.9"/>
    <n v="93"/>
    <n v="58"/>
  </r>
  <r>
    <s v="A00509"/>
    <s v="P0159"/>
    <x v="42"/>
    <n v="26.7"/>
    <n v="66"/>
    <n v="68"/>
  </r>
  <r>
    <s v="A00510"/>
    <s v="P0159"/>
    <x v="30"/>
    <n v="17.600000000000001"/>
    <n v="162"/>
    <n v="163"/>
  </r>
  <r>
    <s v="A00511"/>
    <s v="P0160"/>
    <x v="38"/>
    <n v="27.3"/>
    <n v="68"/>
    <n v="159"/>
  </r>
  <r>
    <s v="A00512"/>
    <s v="P0160"/>
    <x v="7"/>
    <n v="24.8"/>
    <n v="96"/>
    <n v="143"/>
  </r>
  <r>
    <s v="A00513"/>
    <s v="P0160"/>
    <x v="39"/>
    <n v="18.600000000000001"/>
    <n v="176"/>
    <n v="132"/>
  </r>
  <r>
    <s v="A00514"/>
    <s v="P0160"/>
    <x v="44"/>
    <n v="29.3"/>
    <n v="112"/>
    <n v="129"/>
  </r>
  <r>
    <s v="A00515"/>
    <s v="P0161"/>
    <x v="35"/>
    <n v="28.5"/>
    <n v="148"/>
    <n v="129"/>
  </r>
  <r>
    <s v="A00516"/>
    <s v="P0161"/>
    <x v="20"/>
    <n v="26"/>
    <n v="65"/>
    <n v="141"/>
  </r>
  <r>
    <s v="A00517"/>
    <s v="P0161"/>
    <x v="12"/>
    <n v="27.2"/>
    <n v="97"/>
    <n v="141"/>
  </r>
  <r>
    <s v="A00518"/>
    <s v="P0161"/>
    <x v="2"/>
    <n v="18.3"/>
    <n v="140"/>
    <n v="120"/>
  </r>
  <r>
    <s v="A00519"/>
    <s v="P0162"/>
    <x v="15"/>
    <n v="49.8"/>
    <n v="101"/>
    <n v="168"/>
  </r>
  <r>
    <s v="A00520"/>
    <s v="P0162"/>
    <x v="11"/>
    <n v="50.2"/>
    <n v="104"/>
    <n v="174"/>
  </r>
  <r>
    <s v="A00521"/>
    <s v="P0163"/>
    <x v="15"/>
    <n v="40"/>
    <n v="176"/>
    <n v="94"/>
  </r>
  <r>
    <s v="A00522"/>
    <s v="P0163"/>
    <x v="34"/>
    <n v="35.1"/>
    <n v="164"/>
    <n v="141"/>
  </r>
  <r>
    <s v="A00523"/>
    <s v="P0163"/>
    <x v="20"/>
    <n v="24.9"/>
    <n v="84"/>
    <n v="93"/>
  </r>
  <r>
    <s v="A00524"/>
    <s v="P0164"/>
    <x v="26"/>
    <n v="21.2"/>
    <n v="72"/>
    <n v="140"/>
  </r>
  <r>
    <s v="A00525"/>
    <s v="P0164"/>
    <x v="41"/>
    <n v="25.9"/>
    <n v="103"/>
    <n v="150"/>
  </r>
  <r>
    <s v="A00526"/>
    <s v="P0164"/>
    <x v="14"/>
    <n v="23.1"/>
    <n v="130"/>
    <n v="171"/>
  </r>
  <r>
    <s v="A00527"/>
    <s v="P0164"/>
    <x v="5"/>
    <n v="29.7"/>
    <n v="135"/>
    <n v="165"/>
  </r>
  <r>
    <s v="A00528"/>
    <s v="P0165"/>
    <x v="39"/>
    <n v="25.5"/>
    <n v="165"/>
    <n v="57"/>
  </r>
  <r>
    <s v="A00529"/>
    <s v="P0165"/>
    <x v="13"/>
    <n v="17.3"/>
    <n v="132"/>
    <n v="53"/>
  </r>
  <r>
    <s v="A00530"/>
    <s v="P0165"/>
    <x v="36"/>
    <n v="34.6"/>
    <n v="80"/>
    <n v="74"/>
  </r>
  <r>
    <s v="A00531"/>
    <s v="P0165"/>
    <x v="1"/>
    <n v="22.6"/>
    <n v="162"/>
    <n v="92"/>
  </r>
  <r>
    <s v="A00532"/>
    <s v="P0166"/>
    <x v="15"/>
    <n v="29.4"/>
    <n v="176"/>
    <n v="53"/>
  </r>
  <r>
    <s v="A00533"/>
    <s v="P0166"/>
    <x v="13"/>
    <n v="28.1"/>
    <n v="128"/>
    <n v="129"/>
  </r>
  <r>
    <s v="A00534"/>
    <s v="P0166"/>
    <x v="22"/>
    <n v="25.8"/>
    <n v="100"/>
    <n v="51"/>
  </r>
  <r>
    <s v="A00535"/>
    <s v="P0166"/>
    <x v="41"/>
    <n v="16.7"/>
    <n v="169"/>
    <n v="92"/>
  </r>
  <r>
    <s v="A00536"/>
    <s v="P0167"/>
    <x v="17"/>
    <n v="35.200000000000003"/>
    <n v="164"/>
    <n v="96"/>
  </r>
  <r>
    <s v="A00537"/>
    <s v="P0167"/>
    <x v="34"/>
    <n v="40.700000000000003"/>
    <n v="146"/>
    <n v="102"/>
  </r>
  <r>
    <s v="A00538"/>
    <s v="P0167"/>
    <x v="24"/>
    <n v="24.2"/>
    <n v="112"/>
    <n v="178"/>
  </r>
  <r>
    <s v="A00539"/>
    <s v="P0168"/>
    <x v="6"/>
    <n v="28.8"/>
    <n v="60"/>
    <n v="109"/>
  </r>
  <r>
    <s v="A00540"/>
    <s v="P0168"/>
    <x v="29"/>
    <n v="32.1"/>
    <n v="71"/>
    <n v="93"/>
  </r>
  <r>
    <s v="A00541"/>
    <s v="P0168"/>
    <x v="32"/>
    <n v="39"/>
    <n v="174"/>
    <n v="157"/>
  </r>
  <r>
    <s v="A00542"/>
    <s v="P0169"/>
    <x v="26"/>
    <n v="28.1"/>
    <n v="109"/>
    <n v="77"/>
  </r>
  <r>
    <s v="A00543"/>
    <s v="P0169"/>
    <x v="11"/>
    <n v="28.9"/>
    <n v="142"/>
    <n v="53"/>
  </r>
  <r>
    <s v="A00544"/>
    <s v="P0169"/>
    <x v="29"/>
    <n v="43"/>
    <n v="81"/>
    <n v="168"/>
  </r>
  <r>
    <s v="A00545"/>
    <s v="P0170"/>
    <x v="24"/>
    <n v="29"/>
    <n v="147"/>
    <n v="179"/>
  </r>
  <r>
    <s v="A00546"/>
    <s v="P0170"/>
    <x v="7"/>
    <n v="28.7"/>
    <n v="90"/>
    <n v="157"/>
  </r>
  <r>
    <s v="A00547"/>
    <s v="P0170"/>
    <x v="34"/>
    <n v="42.3"/>
    <n v="156"/>
    <n v="79"/>
  </r>
  <r>
    <s v="A00548"/>
    <s v="P0171"/>
    <x v="38"/>
    <n v="23.3"/>
    <n v="98"/>
    <n v="96"/>
  </r>
  <r>
    <s v="A00549"/>
    <s v="P0171"/>
    <x v="5"/>
    <n v="29.9"/>
    <n v="153"/>
    <n v="70"/>
  </r>
  <r>
    <s v="A00550"/>
    <s v="P0171"/>
    <x v="29"/>
    <n v="20.6"/>
    <n v="89"/>
    <n v="141"/>
  </r>
  <r>
    <s v="A00551"/>
    <s v="P0171"/>
    <x v="18"/>
    <n v="26.2"/>
    <n v="90"/>
    <n v="170"/>
  </r>
  <r>
    <s v="A00552"/>
    <s v="P0172"/>
    <x v="36"/>
    <n v="21.4"/>
    <n v="163"/>
    <n v="55"/>
  </r>
  <r>
    <s v="A00553"/>
    <s v="P0172"/>
    <x v="26"/>
    <n v="41.8"/>
    <n v="167"/>
    <n v="152"/>
  </r>
  <r>
    <s v="A00554"/>
    <s v="P0172"/>
    <x v="34"/>
    <n v="36.799999999999997"/>
    <n v="109"/>
    <n v="167"/>
  </r>
  <r>
    <s v="A00555"/>
    <s v="P0173"/>
    <x v="22"/>
    <n v="27"/>
    <n v="100"/>
    <n v="165"/>
  </r>
  <r>
    <s v="A00556"/>
    <s v="P0173"/>
    <x v="1"/>
    <n v="29.8"/>
    <n v="72"/>
    <n v="149"/>
  </r>
  <r>
    <s v="A00557"/>
    <s v="P0173"/>
    <x v="36"/>
    <n v="19.5"/>
    <n v="153"/>
    <n v="174"/>
  </r>
  <r>
    <s v="A00558"/>
    <s v="P0173"/>
    <x v="15"/>
    <n v="23.7"/>
    <n v="84"/>
    <n v="177"/>
  </r>
  <r>
    <s v="A00559"/>
    <s v="P0174"/>
    <x v="37"/>
    <n v="59.6"/>
    <n v="137"/>
    <n v="162"/>
  </r>
  <r>
    <s v="A00560"/>
    <s v="P0174"/>
    <x v="40"/>
    <n v="40.4"/>
    <n v="168"/>
    <n v="155"/>
  </r>
  <r>
    <s v="A00561"/>
    <s v="P0175"/>
    <x v="41"/>
    <n v="29.1"/>
    <n v="103"/>
    <n v="138"/>
  </r>
  <r>
    <s v="A00562"/>
    <s v="P0175"/>
    <x v="7"/>
    <n v="24.9"/>
    <n v="154"/>
    <n v="108"/>
  </r>
  <r>
    <s v="A00563"/>
    <s v="P0175"/>
    <x v="21"/>
    <n v="14.8"/>
    <n v="96"/>
    <n v="74"/>
  </r>
  <r>
    <s v="A00564"/>
    <s v="P0175"/>
    <x v="12"/>
    <n v="15"/>
    <n v="75"/>
    <n v="136"/>
  </r>
  <r>
    <s v="A00565"/>
    <s v="P0175"/>
    <x v="35"/>
    <n v="16.2"/>
    <n v="73"/>
    <n v="72"/>
  </r>
  <r>
    <s v="A00566"/>
    <s v="P0176"/>
    <x v="22"/>
    <n v="40.200000000000003"/>
    <n v="148"/>
    <n v="174"/>
  </r>
  <r>
    <s v="A00567"/>
    <s v="P0176"/>
    <x v="2"/>
    <n v="34.1"/>
    <n v="172"/>
    <n v="156"/>
  </r>
  <r>
    <s v="A00568"/>
    <s v="P0176"/>
    <x v="6"/>
    <n v="25.6"/>
    <n v="146"/>
    <n v="117"/>
  </r>
  <r>
    <s v="A00569"/>
    <s v="P0177"/>
    <x v="23"/>
    <n v="31.2"/>
    <n v="171"/>
    <n v="69"/>
  </r>
  <r>
    <s v="A00570"/>
    <s v="P0177"/>
    <x v="31"/>
    <n v="43.3"/>
    <n v="132"/>
    <n v="108"/>
  </r>
  <r>
    <s v="A00571"/>
    <s v="P0177"/>
    <x v="33"/>
    <n v="25.5"/>
    <n v="128"/>
    <n v="151"/>
  </r>
  <r>
    <s v="A00572"/>
    <s v="P0178"/>
    <x v="39"/>
    <n v="17"/>
    <n v="103"/>
    <n v="58"/>
  </r>
  <r>
    <s v="A00573"/>
    <s v="P0178"/>
    <x v="41"/>
    <n v="17.2"/>
    <n v="126"/>
    <n v="103"/>
  </r>
  <r>
    <s v="A00574"/>
    <s v="P0178"/>
    <x v="25"/>
    <n v="16.399999999999999"/>
    <n v="85"/>
    <n v="143"/>
  </r>
  <r>
    <s v="A00575"/>
    <s v="P0178"/>
    <x v="12"/>
    <n v="26.6"/>
    <n v="151"/>
    <n v="149"/>
  </r>
  <r>
    <s v="A00576"/>
    <s v="P0178"/>
    <x v="0"/>
    <n v="22.8"/>
    <n v="85"/>
    <n v="83"/>
  </r>
  <r>
    <s v="A00577"/>
    <s v="P0179"/>
    <x v="43"/>
    <n v="20.2"/>
    <n v="180"/>
    <n v="167"/>
  </r>
  <r>
    <s v="A00578"/>
    <s v="P0179"/>
    <x v="14"/>
    <n v="24.1"/>
    <n v="64"/>
    <n v="145"/>
  </r>
  <r>
    <s v="A00579"/>
    <s v="P0179"/>
    <x v="3"/>
    <n v="20.6"/>
    <n v="174"/>
    <n v="70"/>
  </r>
  <r>
    <s v="A00580"/>
    <s v="P0179"/>
    <x v="13"/>
    <n v="22.7"/>
    <n v="83"/>
    <n v="177"/>
  </r>
  <r>
    <s v="A00581"/>
    <s v="P0179"/>
    <x v="30"/>
    <n v="12.4"/>
    <n v="77"/>
    <n v="70"/>
  </r>
  <r>
    <s v="A00582"/>
    <s v="P0180"/>
    <x v="6"/>
    <n v="33.4"/>
    <n v="124"/>
    <n v="60"/>
  </r>
  <r>
    <s v="A00583"/>
    <s v="P0180"/>
    <x v="16"/>
    <n v="35.5"/>
    <n v="69"/>
    <n v="161"/>
  </r>
  <r>
    <s v="A00584"/>
    <s v="P0180"/>
    <x v="14"/>
    <n v="31.1"/>
    <n v="118"/>
    <n v="139"/>
  </r>
  <r>
    <s v="A00585"/>
    <s v="P0181"/>
    <x v="24"/>
    <n v="17.7"/>
    <n v="132"/>
    <n v="68"/>
  </r>
  <r>
    <s v="A00586"/>
    <s v="P0181"/>
    <x v="5"/>
    <n v="29.9"/>
    <n v="137"/>
    <n v="89"/>
  </r>
  <r>
    <s v="A00587"/>
    <s v="P0181"/>
    <x v="1"/>
    <n v="26.6"/>
    <n v="76"/>
    <n v="148"/>
  </r>
  <r>
    <s v="A00588"/>
    <s v="P0181"/>
    <x v="25"/>
    <n v="25.8"/>
    <n v="152"/>
    <n v="91"/>
  </r>
  <r>
    <s v="A00589"/>
    <s v="P0182"/>
    <x v="0"/>
    <n v="30.8"/>
    <n v="73"/>
    <n v="161"/>
  </r>
  <r>
    <s v="A00590"/>
    <s v="P0182"/>
    <x v="31"/>
    <n v="17.100000000000001"/>
    <n v="137"/>
    <n v="180"/>
  </r>
  <r>
    <s v="A00591"/>
    <s v="P0182"/>
    <x v="11"/>
    <n v="30.1"/>
    <n v="172"/>
    <n v="159"/>
  </r>
  <r>
    <s v="A00592"/>
    <s v="P0182"/>
    <x v="30"/>
    <n v="22"/>
    <n v="173"/>
    <n v="116"/>
  </r>
  <r>
    <s v="A00593"/>
    <s v="P0183"/>
    <x v="34"/>
    <n v="21.7"/>
    <n v="80"/>
    <n v="163"/>
  </r>
  <r>
    <s v="A00594"/>
    <s v="P0183"/>
    <x v="20"/>
    <n v="26.3"/>
    <n v="72"/>
    <n v="135"/>
  </r>
  <r>
    <s v="A00595"/>
    <s v="P0183"/>
    <x v="24"/>
    <n v="23.3"/>
    <n v="94"/>
    <n v="96"/>
  </r>
  <r>
    <s v="A00596"/>
    <s v="P0183"/>
    <x v="8"/>
    <n v="28.7"/>
    <n v="145"/>
    <n v="174"/>
  </r>
  <r>
    <s v="A00597"/>
    <s v="P0184"/>
    <x v="10"/>
    <n v="38.5"/>
    <n v="129"/>
    <n v="129"/>
  </r>
  <r>
    <s v="A00598"/>
    <s v="P0184"/>
    <x v="1"/>
    <n v="27.3"/>
    <n v="152"/>
    <n v="87"/>
  </r>
  <r>
    <s v="A00599"/>
    <s v="P0184"/>
    <x v="40"/>
    <n v="34.200000000000003"/>
    <n v="160"/>
    <n v="111"/>
  </r>
  <r>
    <s v="A00600"/>
    <s v="P0185"/>
    <x v="18"/>
    <n v="48.5"/>
    <n v="140"/>
    <n v="57"/>
  </r>
  <r>
    <s v="A00601"/>
    <s v="P0185"/>
    <x v="38"/>
    <n v="51.5"/>
    <n v="118"/>
    <n v="76"/>
  </r>
  <r>
    <s v="A00602"/>
    <s v="P0186"/>
    <x v="14"/>
    <n v="37.700000000000003"/>
    <n v="171"/>
    <n v="153"/>
  </r>
  <r>
    <s v="A00603"/>
    <s v="P0186"/>
    <x v="43"/>
    <n v="25.3"/>
    <n v="114"/>
    <n v="50"/>
  </r>
  <r>
    <s v="A00604"/>
    <s v="P0186"/>
    <x v="4"/>
    <n v="37"/>
    <n v="149"/>
    <n v="102"/>
  </r>
  <r>
    <s v="A00605"/>
    <s v="P0187"/>
    <x v="33"/>
    <n v="30"/>
    <n v="144"/>
    <n v="150"/>
  </r>
  <r>
    <s v="A00606"/>
    <s v="P0187"/>
    <x v="21"/>
    <n v="27.2"/>
    <n v="154"/>
    <n v="136"/>
  </r>
  <r>
    <s v="A00607"/>
    <s v="P0187"/>
    <x v="12"/>
    <n v="14.9"/>
    <n v="116"/>
    <n v="140"/>
  </r>
  <r>
    <s v="A00608"/>
    <s v="P0187"/>
    <x v="38"/>
    <n v="28"/>
    <n v="179"/>
    <n v="152"/>
  </r>
  <r>
    <s v="A00609"/>
    <s v="P0188"/>
    <x v="0"/>
    <n v="50.2"/>
    <n v="144"/>
    <n v="107"/>
  </r>
  <r>
    <s v="A00610"/>
    <s v="P0188"/>
    <x v="28"/>
    <n v="49.8"/>
    <n v="79"/>
    <n v="106"/>
  </r>
  <r>
    <s v="A00611"/>
    <s v="P0189"/>
    <x v="8"/>
    <n v="18.399999999999999"/>
    <n v="156"/>
    <n v="156"/>
  </r>
  <r>
    <s v="A00612"/>
    <s v="P0189"/>
    <x v="15"/>
    <n v="29.8"/>
    <n v="139"/>
    <n v="56"/>
  </r>
  <r>
    <s v="A00613"/>
    <s v="P0189"/>
    <x v="10"/>
    <n v="24.3"/>
    <n v="110"/>
    <n v="114"/>
  </r>
  <r>
    <s v="A00614"/>
    <s v="P0189"/>
    <x v="26"/>
    <n v="27.5"/>
    <n v="68"/>
    <n v="131"/>
  </r>
  <r>
    <s v="A00615"/>
    <s v="P0190"/>
    <x v="20"/>
    <n v="43.3"/>
    <n v="140"/>
    <n v="133"/>
  </r>
  <r>
    <s v="A00616"/>
    <s v="P0190"/>
    <x v="11"/>
    <n v="56.7"/>
    <n v="69"/>
    <n v="78"/>
  </r>
  <r>
    <s v="A00617"/>
    <s v="P0191"/>
    <x v="14"/>
    <n v="28.4"/>
    <n v="89"/>
    <n v="175"/>
  </r>
  <r>
    <s v="A00618"/>
    <s v="P0191"/>
    <x v="34"/>
    <n v="28.9"/>
    <n v="125"/>
    <n v="54"/>
  </r>
  <r>
    <s v="A00619"/>
    <s v="P0191"/>
    <x v="27"/>
    <n v="17.7"/>
    <n v="152"/>
    <n v="146"/>
  </r>
  <r>
    <s v="A00620"/>
    <s v="P0191"/>
    <x v="30"/>
    <n v="25"/>
    <n v="101"/>
    <n v="143"/>
  </r>
  <r>
    <s v="A00621"/>
    <s v="P0192"/>
    <x v="11"/>
    <n v="35.799999999999997"/>
    <n v="81"/>
    <n v="89"/>
  </r>
  <r>
    <s v="A00622"/>
    <s v="P0192"/>
    <x v="8"/>
    <n v="25.9"/>
    <n v="168"/>
    <n v="123"/>
  </r>
  <r>
    <s v="A00623"/>
    <s v="P0192"/>
    <x v="7"/>
    <n v="38.299999999999997"/>
    <n v="125"/>
    <n v="55"/>
  </r>
  <r>
    <s v="A00624"/>
    <s v="P0193"/>
    <x v="16"/>
    <n v="27.1"/>
    <n v="107"/>
    <n v="130"/>
  </r>
  <r>
    <s v="A00625"/>
    <s v="P0193"/>
    <x v="35"/>
    <n v="28"/>
    <n v="127"/>
    <n v="68"/>
  </r>
  <r>
    <s v="A00626"/>
    <s v="P0193"/>
    <x v="20"/>
    <n v="23.2"/>
    <n v="123"/>
    <n v="150"/>
  </r>
  <r>
    <s v="A00627"/>
    <s v="P0193"/>
    <x v="13"/>
    <n v="21.7"/>
    <n v="125"/>
    <n v="115"/>
  </r>
  <r>
    <s v="A00628"/>
    <s v="P0194"/>
    <x v="19"/>
    <n v="15.3"/>
    <n v="103"/>
    <n v="140"/>
  </r>
  <r>
    <s v="A00629"/>
    <s v="P0194"/>
    <x v="22"/>
    <n v="33.9"/>
    <n v="92"/>
    <n v="109"/>
  </r>
  <r>
    <s v="A00630"/>
    <s v="P0194"/>
    <x v="16"/>
    <n v="25"/>
    <n v="145"/>
    <n v="142"/>
  </r>
  <r>
    <s v="A00631"/>
    <s v="P0194"/>
    <x v="5"/>
    <n v="25.7"/>
    <n v="142"/>
    <n v="132"/>
  </r>
  <r>
    <s v="A00632"/>
    <s v="P0195"/>
    <x v="25"/>
    <n v="26.7"/>
    <n v="86"/>
    <n v="135"/>
  </r>
  <r>
    <s v="A00633"/>
    <s v="P0195"/>
    <x v="5"/>
    <n v="44.9"/>
    <n v="139"/>
    <n v="95"/>
  </r>
  <r>
    <s v="A00634"/>
    <s v="P0195"/>
    <x v="20"/>
    <n v="28.3"/>
    <n v="135"/>
    <n v="59"/>
  </r>
  <r>
    <s v="A00635"/>
    <s v="P0196"/>
    <x v="31"/>
    <n v="27"/>
    <n v="103"/>
    <n v="129"/>
  </r>
  <r>
    <s v="A00636"/>
    <s v="P0196"/>
    <x v="2"/>
    <n v="35.4"/>
    <n v="122"/>
    <n v="91"/>
  </r>
  <r>
    <s v="A00637"/>
    <s v="P0196"/>
    <x v="23"/>
    <n v="37.6"/>
    <n v="123"/>
    <n v="127"/>
  </r>
  <r>
    <s v="A00638"/>
    <s v="P0197"/>
    <x v="25"/>
    <n v="26.2"/>
    <n v="141"/>
    <n v="89"/>
  </r>
  <r>
    <s v="A00639"/>
    <s v="P0197"/>
    <x v="0"/>
    <n v="43.6"/>
    <n v="73"/>
    <n v="152"/>
  </r>
  <r>
    <s v="A00640"/>
    <s v="P0197"/>
    <x v="35"/>
    <n v="30.2"/>
    <n v="176"/>
    <n v="172"/>
  </r>
  <r>
    <s v="A00641"/>
    <s v="P0198"/>
    <x v="4"/>
    <n v="60.4"/>
    <n v="165"/>
    <n v="120"/>
  </r>
  <r>
    <s v="A00642"/>
    <s v="P0198"/>
    <x v="16"/>
    <n v="39.6"/>
    <n v="135"/>
    <n v="116"/>
  </r>
  <r>
    <s v="A00643"/>
    <s v="P0199"/>
    <x v="3"/>
    <n v="29.7"/>
    <n v="105"/>
    <n v="96"/>
  </r>
  <r>
    <s v="A00644"/>
    <s v="P0199"/>
    <x v="9"/>
    <n v="24.8"/>
    <n v="138"/>
    <n v="179"/>
  </r>
  <r>
    <s v="A00645"/>
    <s v="P0199"/>
    <x v="37"/>
    <n v="45.5"/>
    <n v="131"/>
    <n v="176"/>
  </r>
  <r>
    <s v="A00646"/>
    <s v="P0200"/>
    <x v="17"/>
    <n v="25.8"/>
    <n v="75"/>
    <n v="126"/>
  </r>
  <r>
    <s v="A00647"/>
    <s v="P0200"/>
    <x v="2"/>
    <n v="41.2"/>
    <n v="117"/>
    <n v="75"/>
  </r>
  <r>
    <s v="A00648"/>
    <s v="P0200"/>
    <x v="24"/>
    <n v="32.9"/>
    <n v="87"/>
    <n v="154"/>
  </r>
  <r>
    <s v="A00649"/>
    <s v="P0201"/>
    <x v="16"/>
    <n v="40.799999999999997"/>
    <n v="146"/>
    <n v="79"/>
  </r>
  <r>
    <s v="A00650"/>
    <s v="P0201"/>
    <x v="32"/>
    <n v="59.2"/>
    <n v="148"/>
    <n v="94"/>
  </r>
  <r>
    <s v="A00651"/>
    <s v="P0202"/>
    <x v="40"/>
    <n v="46.4"/>
    <n v="61"/>
    <n v="64"/>
  </r>
  <r>
    <s v="A00652"/>
    <s v="P0202"/>
    <x v="37"/>
    <n v="53.6"/>
    <n v="162"/>
    <n v="154"/>
  </r>
  <r>
    <s v="A00653"/>
    <s v="P0203"/>
    <x v="44"/>
    <n v="24.9"/>
    <n v="142"/>
    <n v="93"/>
  </r>
  <r>
    <s v="A00654"/>
    <s v="P0203"/>
    <x v="40"/>
    <n v="36.5"/>
    <n v="127"/>
    <n v="97"/>
  </r>
  <r>
    <s v="A00655"/>
    <s v="P0203"/>
    <x v="7"/>
    <n v="38.700000000000003"/>
    <n v="116"/>
    <n v="124"/>
  </r>
  <r>
    <s v="A00656"/>
    <s v="P0204"/>
    <x v="34"/>
    <n v="25.8"/>
    <n v="180"/>
    <n v="129"/>
  </r>
  <r>
    <s v="A00657"/>
    <s v="P0204"/>
    <x v="0"/>
    <n v="26.8"/>
    <n v="136"/>
    <n v="104"/>
  </r>
  <r>
    <s v="A00658"/>
    <s v="P0204"/>
    <x v="7"/>
    <n v="30.1"/>
    <n v="160"/>
    <n v="69"/>
  </r>
  <r>
    <s v="A00659"/>
    <s v="P0204"/>
    <x v="37"/>
    <n v="17.3"/>
    <n v="83"/>
    <n v="83"/>
  </r>
  <r>
    <s v="A00660"/>
    <s v="P0205"/>
    <x v="32"/>
    <n v="37"/>
    <n v="98"/>
    <n v="81"/>
  </r>
  <r>
    <s v="A00661"/>
    <s v="P0205"/>
    <x v="44"/>
    <n v="36.799999999999997"/>
    <n v="167"/>
    <n v="76"/>
  </r>
  <r>
    <s v="A00662"/>
    <s v="P0205"/>
    <x v="11"/>
    <n v="26.2"/>
    <n v="169"/>
    <n v="146"/>
  </r>
  <r>
    <s v="A00663"/>
    <s v="P0206"/>
    <x v="21"/>
    <n v="35.799999999999997"/>
    <n v="89"/>
    <n v="137"/>
  </r>
  <r>
    <s v="A00664"/>
    <s v="P0206"/>
    <x v="29"/>
    <n v="22.6"/>
    <n v="143"/>
    <n v="95"/>
  </r>
  <r>
    <s v="A00665"/>
    <s v="P0206"/>
    <x v="34"/>
    <n v="41.6"/>
    <n v="115"/>
    <n v="137"/>
  </r>
  <r>
    <s v="A00666"/>
    <s v="P0207"/>
    <x v="26"/>
    <n v="32.1"/>
    <n v="136"/>
    <n v="143"/>
  </r>
  <r>
    <s v="A00667"/>
    <s v="P0207"/>
    <x v="23"/>
    <n v="33.9"/>
    <n v="138"/>
    <n v="64"/>
  </r>
  <r>
    <s v="A00668"/>
    <s v="P0207"/>
    <x v="14"/>
    <n v="33.9"/>
    <n v="109"/>
    <n v="171"/>
  </r>
  <r>
    <s v="A00669"/>
    <s v="P0208"/>
    <x v="23"/>
    <n v="29"/>
    <n v="66"/>
    <n v="115"/>
  </r>
  <r>
    <s v="A00670"/>
    <s v="P0208"/>
    <x v="16"/>
    <n v="31.7"/>
    <n v="153"/>
    <n v="126"/>
  </r>
  <r>
    <s v="A00671"/>
    <s v="P0208"/>
    <x v="20"/>
    <n v="39.200000000000003"/>
    <n v="121"/>
    <n v="87"/>
  </r>
  <r>
    <s v="A00672"/>
    <s v="P0209"/>
    <x v="36"/>
    <n v="32.5"/>
    <n v="176"/>
    <n v="93"/>
  </r>
  <r>
    <s v="A00673"/>
    <s v="P0209"/>
    <x v="24"/>
    <n v="40.6"/>
    <n v="165"/>
    <n v="147"/>
  </r>
  <r>
    <s v="A00674"/>
    <s v="P0209"/>
    <x v="4"/>
    <n v="26.9"/>
    <n v="119"/>
    <n v="58"/>
  </r>
  <r>
    <s v="A00675"/>
    <s v="P0210"/>
    <x v="7"/>
    <n v="48"/>
    <n v="137"/>
    <n v="103"/>
  </r>
  <r>
    <s v="A00676"/>
    <s v="P0210"/>
    <x v="15"/>
    <n v="52"/>
    <n v="146"/>
    <n v="60"/>
  </r>
  <r>
    <s v="A00677"/>
    <s v="P0211"/>
    <x v="11"/>
    <n v="22.7"/>
    <n v="139"/>
    <n v="151"/>
  </r>
  <r>
    <s v="A00678"/>
    <s v="P0211"/>
    <x v="44"/>
    <n v="21.9"/>
    <n v="119"/>
    <n v="152"/>
  </r>
  <r>
    <s v="A00679"/>
    <s v="P0211"/>
    <x v="16"/>
    <n v="27.7"/>
    <n v="149"/>
    <n v="139"/>
  </r>
  <r>
    <s v="A00680"/>
    <s v="P0211"/>
    <x v="6"/>
    <n v="27.7"/>
    <n v="124"/>
    <n v="170"/>
  </r>
  <r>
    <s v="A00681"/>
    <s v="P0212"/>
    <x v="27"/>
    <n v="45"/>
    <n v="179"/>
    <n v="84"/>
  </r>
  <r>
    <s v="A00682"/>
    <s v="P0212"/>
    <x v="42"/>
    <n v="23.4"/>
    <n v="163"/>
    <n v="127"/>
  </r>
  <r>
    <s v="A00683"/>
    <s v="P0212"/>
    <x v="38"/>
    <n v="31.6"/>
    <n v="97"/>
    <n v="77"/>
  </r>
  <r>
    <s v="A00684"/>
    <s v="P0213"/>
    <x v="5"/>
    <n v="31.6"/>
    <n v="103"/>
    <n v="124"/>
  </r>
  <r>
    <s v="A00685"/>
    <s v="P0213"/>
    <x v="40"/>
    <n v="31.6"/>
    <n v="154"/>
    <n v="72"/>
  </r>
  <r>
    <s v="A00686"/>
    <s v="P0213"/>
    <x v="18"/>
    <n v="36.9"/>
    <n v="145"/>
    <n v="92"/>
  </r>
  <r>
    <s v="A00687"/>
    <s v="P0214"/>
    <x v="39"/>
    <n v="29.1"/>
    <n v="157"/>
    <n v="105"/>
  </r>
  <r>
    <s v="A00688"/>
    <s v="P0214"/>
    <x v="25"/>
    <n v="45.7"/>
    <n v="67"/>
    <n v="143"/>
  </r>
  <r>
    <s v="A00689"/>
    <s v="P0214"/>
    <x v="24"/>
    <n v="25.2"/>
    <n v="86"/>
    <n v="169"/>
  </r>
  <r>
    <s v="A00690"/>
    <s v="P0215"/>
    <x v="5"/>
    <n v="20"/>
    <n v="156"/>
    <n v="56"/>
  </r>
  <r>
    <s v="A00691"/>
    <s v="P0215"/>
    <x v="19"/>
    <n v="17.899999999999999"/>
    <n v="88"/>
    <n v="118"/>
  </r>
  <r>
    <s v="A00692"/>
    <s v="P0215"/>
    <x v="9"/>
    <n v="19.7"/>
    <n v="153"/>
    <n v="162"/>
  </r>
  <r>
    <s v="A00693"/>
    <s v="P0215"/>
    <x v="26"/>
    <n v="24.5"/>
    <n v="166"/>
    <n v="169"/>
  </r>
  <r>
    <s v="A00694"/>
    <s v="P0215"/>
    <x v="32"/>
    <n v="17.899999999999999"/>
    <n v="117"/>
    <n v="91"/>
  </r>
  <r>
    <s v="A00695"/>
    <s v="P0216"/>
    <x v="43"/>
    <n v="32.700000000000003"/>
    <n v="71"/>
    <n v="140"/>
  </r>
  <r>
    <s v="A00696"/>
    <s v="P0216"/>
    <x v="15"/>
    <n v="22.8"/>
    <n v="176"/>
    <n v="79"/>
  </r>
  <r>
    <s v="A00697"/>
    <s v="P0216"/>
    <x v="34"/>
    <n v="44.5"/>
    <n v="144"/>
    <n v="87"/>
  </r>
  <r>
    <s v="A00698"/>
    <s v="P0217"/>
    <x v="2"/>
    <n v="14.7"/>
    <n v="81"/>
    <n v="65"/>
  </r>
  <r>
    <s v="A00699"/>
    <s v="P0217"/>
    <x v="33"/>
    <n v="26.3"/>
    <n v="91"/>
    <n v="87"/>
  </r>
  <r>
    <s v="A00700"/>
    <s v="P0217"/>
    <x v="14"/>
    <n v="29.7"/>
    <n v="157"/>
    <n v="70"/>
  </r>
  <r>
    <s v="A00701"/>
    <s v="P0217"/>
    <x v="13"/>
    <n v="29.3"/>
    <n v="115"/>
    <n v="95"/>
  </r>
  <r>
    <s v="A00702"/>
    <s v="P0218"/>
    <x v="27"/>
    <n v="29.7"/>
    <n v="147"/>
    <n v="77"/>
  </r>
  <r>
    <s v="A00703"/>
    <s v="P0218"/>
    <x v="12"/>
    <n v="34.4"/>
    <n v="95"/>
    <n v="165"/>
  </r>
  <r>
    <s v="A00704"/>
    <s v="P0218"/>
    <x v="17"/>
    <n v="35.9"/>
    <n v="123"/>
    <n v="67"/>
  </r>
  <r>
    <s v="A00705"/>
    <s v="P0219"/>
    <x v="31"/>
    <n v="48"/>
    <n v="93"/>
    <n v="172"/>
  </r>
  <r>
    <s v="A00706"/>
    <s v="P0219"/>
    <x v="16"/>
    <n v="52"/>
    <n v="133"/>
    <n v="56"/>
  </r>
  <r>
    <s v="A00707"/>
    <s v="P0220"/>
    <x v="37"/>
    <n v="42.7"/>
    <n v="172"/>
    <n v="109"/>
  </r>
  <r>
    <s v="A00708"/>
    <s v="P0220"/>
    <x v="10"/>
    <n v="36.9"/>
    <n v="177"/>
    <n v="109"/>
  </r>
  <r>
    <s v="A00709"/>
    <s v="P0220"/>
    <x v="21"/>
    <n v="20.399999999999999"/>
    <n v="165"/>
    <n v="5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F00001"/>
    <s v="P0003"/>
    <s v="C020"/>
    <d v="2026-03-26T00:00:00"/>
    <x v="0"/>
    <s v="Yes"/>
    <s v="Support"/>
  </r>
  <r>
    <s v="F00002"/>
    <s v="P0008"/>
    <s v="C053"/>
    <d v="2025-02-11T00:00:00"/>
    <x v="0"/>
    <s v="Yes"/>
    <s v="Delivery"/>
  </r>
  <r>
    <s v="F00003"/>
    <s v="P0009"/>
    <s v="C044"/>
    <d v="2026-05-01T00:00:00"/>
    <x v="1"/>
    <s v="Yes"/>
    <s v="Communication"/>
  </r>
  <r>
    <s v="F00004"/>
    <s v="P0013"/>
    <s v="C059"/>
    <d v="2026-08-20T00:00:00"/>
    <x v="0"/>
    <s v="Yes"/>
    <s v="Value"/>
  </r>
  <r>
    <s v="F00005"/>
    <s v="P0017"/>
    <s v="C066"/>
    <d v="2026-10-21T00:00:00"/>
    <x v="1"/>
    <s v="Yes"/>
    <s v="Quality"/>
  </r>
  <r>
    <s v="F00006"/>
    <s v="P0021"/>
    <s v="C004"/>
    <d v="2026-02-20T00:00:00"/>
    <x v="2"/>
    <s v="No"/>
    <s v="Value"/>
  </r>
  <r>
    <s v="F00007"/>
    <s v="P0023"/>
    <s v="C058"/>
    <d v="2025-07-25T00:00:00"/>
    <x v="2"/>
    <s v="No"/>
    <s v="Communication"/>
  </r>
  <r>
    <s v="F00008"/>
    <s v="P0026"/>
    <s v="C075"/>
    <d v="2024-09-13T00:00:00"/>
    <x v="1"/>
    <s v="Yes"/>
    <s v="Delivery"/>
  </r>
  <r>
    <s v="F00009"/>
    <s v="P0032"/>
    <s v="C034"/>
    <d v="2025-03-10T00:00:00"/>
    <x v="0"/>
    <s v="Yes"/>
    <s v="Quality"/>
  </r>
  <r>
    <s v="F00010"/>
    <s v="P0033"/>
    <s v="C017"/>
    <d v="2025-05-18T00:00:00"/>
    <x v="0"/>
    <s v="Yes"/>
    <s v="Communication"/>
  </r>
  <r>
    <s v="F00011"/>
    <s v="P0036"/>
    <s v="C076"/>
    <d v="2026-07-12T00:00:00"/>
    <x v="0"/>
    <s v="Yes"/>
    <s v="Quality"/>
  </r>
  <r>
    <s v="F00012"/>
    <s v="P0042"/>
    <s v="C012"/>
    <d v="2024-08-29T00:00:00"/>
    <x v="1"/>
    <s v="Yes"/>
    <s v="Quality"/>
  </r>
  <r>
    <s v="F00013"/>
    <s v="P0043"/>
    <s v="C053"/>
    <d v="2026-11-03T00:00:00"/>
    <x v="0"/>
    <s v="Yes"/>
    <s v="Quality"/>
  </r>
  <r>
    <s v="F00014"/>
    <s v="P0046"/>
    <s v="C045"/>
    <d v="2025-04-24T00:00:00"/>
    <x v="0"/>
    <s v="Yes"/>
    <s v="Support"/>
  </r>
  <r>
    <s v="F00015"/>
    <s v="P0049"/>
    <s v="C062"/>
    <d v="2025-09-24T00:00:00"/>
    <x v="1"/>
    <s v="Yes"/>
    <s v="Support"/>
  </r>
  <r>
    <s v="F00016"/>
    <s v="P0054"/>
    <s v="C065"/>
    <d v="2025-12-30T00:00:00"/>
    <x v="0"/>
    <s v="Yes"/>
    <s v="Communication"/>
  </r>
  <r>
    <s v="F00017"/>
    <s v="P0056"/>
    <s v="C053"/>
    <d v="2024-10-27T00:00:00"/>
    <x v="0"/>
    <s v="Yes"/>
    <s v="Quality"/>
  </r>
  <r>
    <s v="F00018"/>
    <s v="P0057"/>
    <s v="C036"/>
    <d v="2026-02-26T00:00:00"/>
    <x v="0"/>
    <s v="Yes"/>
    <s v="Support"/>
  </r>
  <r>
    <s v="F00019"/>
    <s v="P0059"/>
    <s v="C029"/>
    <d v="2024-11-21T00:00:00"/>
    <x v="1"/>
    <s v="Yes"/>
    <s v="Communication"/>
  </r>
  <r>
    <s v="F00020"/>
    <s v="P0060"/>
    <s v="C021"/>
    <d v="2025-05-09T00:00:00"/>
    <x v="1"/>
    <s v="Yes"/>
    <s v="Quality"/>
  </r>
  <r>
    <s v="F00021"/>
    <s v="P0062"/>
    <s v="C040"/>
    <d v="2026-03-06T00:00:00"/>
    <x v="1"/>
    <s v="Yes"/>
    <s v="Communication"/>
  </r>
  <r>
    <s v="F00022"/>
    <s v="P0063"/>
    <s v="C011"/>
    <d v="2024-10-04T00:00:00"/>
    <x v="0"/>
    <s v="Yes"/>
    <s v="Communication"/>
  </r>
  <r>
    <s v="F00023"/>
    <s v="P0066"/>
    <s v="C039"/>
    <d v="2026-06-10T00:00:00"/>
    <x v="2"/>
    <s v="No"/>
    <s v="Communication"/>
  </r>
  <r>
    <s v="F00024"/>
    <s v="P0068"/>
    <s v="C055"/>
    <d v="2026-09-17T00:00:00"/>
    <x v="1"/>
    <s v="Yes"/>
    <s v="Quality"/>
  </r>
  <r>
    <s v="F00025"/>
    <s v="P0075"/>
    <s v="C020"/>
    <d v="2025-03-04T00:00:00"/>
    <x v="2"/>
    <s v="No"/>
    <s v="Delivery"/>
  </r>
  <r>
    <s v="F00026"/>
    <s v="P0076"/>
    <s v="C062"/>
    <d v="2025-02-04T00:00:00"/>
    <x v="0"/>
    <s v="Yes"/>
    <s v="Value"/>
  </r>
  <r>
    <s v="F00027"/>
    <s v="P0078"/>
    <s v="C026"/>
    <d v="2024-10-29T00:00:00"/>
    <x v="1"/>
    <s v="Yes"/>
    <s v="Delivery"/>
  </r>
  <r>
    <s v="F00028"/>
    <s v="P0080"/>
    <s v="C073"/>
    <d v="2024-11-01T00:00:00"/>
    <x v="0"/>
    <s v="Yes"/>
    <s v="Support"/>
  </r>
  <r>
    <s v="F00029"/>
    <s v="P0082"/>
    <s v="C040"/>
    <d v="2025-04-07T00:00:00"/>
    <x v="2"/>
    <s v="No"/>
    <s v="Delivery"/>
  </r>
  <r>
    <s v="F00030"/>
    <s v="P0083"/>
    <s v="C017"/>
    <d v="2026-04-06T00:00:00"/>
    <x v="0"/>
    <s v="Yes"/>
    <s v="Quality"/>
  </r>
  <r>
    <s v="F00031"/>
    <s v="P0085"/>
    <s v="C061"/>
    <d v="2024-12-25T00:00:00"/>
    <x v="1"/>
    <s v="Yes"/>
    <s v="Value"/>
  </r>
  <r>
    <s v="F00032"/>
    <s v="P0090"/>
    <s v="C035"/>
    <d v="2025-04-23T00:00:00"/>
    <x v="0"/>
    <s v="Yes"/>
    <s v="Delivery"/>
  </r>
  <r>
    <s v="F00033"/>
    <s v="P0097"/>
    <s v="C059"/>
    <d v="2026-04-19T00:00:00"/>
    <x v="1"/>
    <s v="Yes"/>
    <s v="Quality"/>
  </r>
  <r>
    <s v="F00034"/>
    <s v="P0099"/>
    <s v="C061"/>
    <d v="2025-04-07T00:00:00"/>
    <x v="0"/>
    <s v="Yes"/>
    <s v="Delivery"/>
  </r>
  <r>
    <s v="F00035"/>
    <s v="P0103"/>
    <s v="C055"/>
    <d v="2026-06-02T00:00:00"/>
    <x v="0"/>
    <s v="Yes"/>
    <s v="Quality"/>
  </r>
  <r>
    <s v="F00036"/>
    <s v="P0104"/>
    <s v="C047"/>
    <d v="2024-11-02T00:00:00"/>
    <x v="0"/>
    <s v="Yes"/>
    <s v="Communication"/>
  </r>
  <r>
    <s v="F00037"/>
    <s v="P0105"/>
    <s v="C012"/>
    <d v="2024-10-22T00:00:00"/>
    <x v="2"/>
    <s v="No"/>
    <s v="Quality"/>
  </r>
  <r>
    <s v="F00038"/>
    <s v="P0111"/>
    <s v="C070"/>
    <d v="2024-10-06T00:00:00"/>
    <x v="0"/>
    <s v="Yes"/>
    <s v="Communication"/>
  </r>
  <r>
    <s v="F00039"/>
    <s v="P0114"/>
    <s v="C012"/>
    <d v="2026-06-23T00:00:00"/>
    <x v="2"/>
    <s v="No"/>
    <s v="Communication"/>
  </r>
  <r>
    <s v="F00040"/>
    <s v="P0115"/>
    <s v="C015"/>
    <d v="2025-11-12T00:00:00"/>
    <x v="0"/>
    <s v="Yes"/>
    <s v="Value"/>
  </r>
  <r>
    <s v="F00041"/>
    <s v="P0116"/>
    <s v="C059"/>
    <d v="2024-05-22T00:00:00"/>
    <x v="2"/>
    <s v="No"/>
    <s v="Delivery"/>
  </r>
  <r>
    <s v="F00042"/>
    <s v="P0117"/>
    <s v="C026"/>
    <d v="2024-07-03T00:00:00"/>
    <x v="0"/>
    <s v="Yes"/>
    <s v="Delivery"/>
  </r>
  <r>
    <s v="F00043"/>
    <s v="P0120"/>
    <s v="C032"/>
    <d v="2026-02-26T00:00:00"/>
    <x v="0"/>
    <s v="Yes"/>
    <s v="Communication"/>
  </r>
  <r>
    <s v="F00044"/>
    <s v="P0121"/>
    <s v="C010"/>
    <d v="2026-04-02T00:00:00"/>
    <x v="1"/>
    <s v="Yes"/>
    <s v="Communication"/>
  </r>
  <r>
    <s v="F00045"/>
    <s v="P0122"/>
    <s v="C016"/>
    <d v="2024-11-19T00:00:00"/>
    <x v="1"/>
    <s v="Yes"/>
    <s v="Support"/>
  </r>
  <r>
    <s v="F00046"/>
    <s v="P0123"/>
    <s v="C071"/>
    <d v="2026-02-07T00:00:00"/>
    <x v="0"/>
    <s v="Yes"/>
    <s v="Value"/>
  </r>
  <r>
    <s v="F00047"/>
    <s v="P0125"/>
    <s v="C023"/>
    <d v="2026-03-22T00:00:00"/>
    <x v="0"/>
    <s v="Yes"/>
    <s v="Delivery"/>
  </r>
  <r>
    <s v="F00048"/>
    <s v="P0126"/>
    <s v="C026"/>
    <d v="2025-10-17T00:00:00"/>
    <x v="0"/>
    <s v="Yes"/>
    <s v="Support"/>
  </r>
  <r>
    <s v="F00049"/>
    <s v="P0127"/>
    <s v="C007"/>
    <d v="2025-07-13T00:00:00"/>
    <x v="0"/>
    <s v="Yes"/>
    <s v="Support"/>
  </r>
  <r>
    <s v="F00050"/>
    <s v="P0131"/>
    <s v="C009"/>
    <d v="2024-03-24T00:00:00"/>
    <x v="1"/>
    <s v="Yes"/>
    <s v="Communication"/>
  </r>
  <r>
    <s v="F00051"/>
    <s v="P0134"/>
    <s v="C059"/>
    <d v="2024-09-02T00:00:00"/>
    <x v="1"/>
    <s v="Yes"/>
    <s v="Value"/>
  </r>
  <r>
    <s v="F00052"/>
    <s v="P0135"/>
    <s v="C039"/>
    <d v="2025-10-11T00:00:00"/>
    <x v="0"/>
    <s v="Yes"/>
    <s v="Delivery"/>
  </r>
  <r>
    <s v="F00053"/>
    <s v="P0138"/>
    <s v="C017"/>
    <d v="2025-07-22T00:00:00"/>
    <x v="1"/>
    <s v="Yes"/>
    <s v="Delivery"/>
  </r>
  <r>
    <s v="F00054"/>
    <s v="P0139"/>
    <s v="C014"/>
    <d v="2025-05-29T00:00:00"/>
    <x v="0"/>
    <s v="Yes"/>
    <s v="Support"/>
  </r>
  <r>
    <s v="F00055"/>
    <s v="P0150"/>
    <s v="C015"/>
    <d v="2024-11-24T00:00:00"/>
    <x v="2"/>
    <s v="No"/>
    <s v="Quality"/>
  </r>
  <r>
    <s v="F00056"/>
    <s v="P0151"/>
    <s v="C004"/>
    <d v="2024-11-04T00:00:00"/>
    <x v="1"/>
    <s v="Yes"/>
    <s v="Delivery"/>
  </r>
  <r>
    <s v="F00057"/>
    <s v="P0152"/>
    <s v="C025"/>
    <d v="2026-10-01T00:00:00"/>
    <x v="1"/>
    <s v="Yes"/>
    <s v="Delivery"/>
  </r>
  <r>
    <s v="F00058"/>
    <s v="P0153"/>
    <s v="C013"/>
    <d v="2024-09-09T00:00:00"/>
    <x v="1"/>
    <s v="Yes"/>
    <s v="Quality"/>
  </r>
  <r>
    <s v="F00059"/>
    <s v="P0155"/>
    <s v="C016"/>
    <d v="2026-06-19T00:00:00"/>
    <x v="3"/>
    <s v="No"/>
    <s v="Delivery"/>
  </r>
  <r>
    <s v="F00060"/>
    <s v="P0160"/>
    <s v="C034"/>
    <d v="2025-09-02T00:00:00"/>
    <x v="3"/>
    <s v="No"/>
    <s v="Quality"/>
  </r>
  <r>
    <s v="F00061"/>
    <s v="P0161"/>
    <s v="C030"/>
    <d v="2025-08-26T00:00:00"/>
    <x v="0"/>
    <s v="Yes"/>
    <s v="Support"/>
  </r>
  <r>
    <s v="F00062"/>
    <s v="P0162"/>
    <s v="C013"/>
    <d v="2025-07-28T00:00:00"/>
    <x v="2"/>
    <s v="No"/>
    <s v="Value"/>
  </r>
  <r>
    <s v="F00063"/>
    <s v="P0163"/>
    <s v="C013"/>
    <d v="2024-04-28T00:00:00"/>
    <x v="0"/>
    <s v="Yes"/>
    <s v="Delivery"/>
  </r>
  <r>
    <s v="F00064"/>
    <s v="P0165"/>
    <s v="C032"/>
    <d v="2025-05-09T00:00:00"/>
    <x v="0"/>
    <s v="Yes"/>
    <s v="Value"/>
  </r>
  <r>
    <s v="F00065"/>
    <s v="P0166"/>
    <s v="C039"/>
    <d v="2025-08-07T00:00:00"/>
    <x v="0"/>
    <s v="Yes"/>
    <s v="Support"/>
  </r>
  <r>
    <s v="F00066"/>
    <s v="P0168"/>
    <s v="C029"/>
    <d v="2025-06-26T00:00:00"/>
    <x v="1"/>
    <s v="Yes"/>
    <s v="Delivery"/>
  </r>
  <r>
    <s v="F00067"/>
    <s v="P0175"/>
    <s v="C030"/>
    <d v="2025-07-10T00:00:00"/>
    <x v="0"/>
    <s v="Yes"/>
    <s v="Value"/>
  </r>
  <r>
    <s v="F00068"/>
    <s v="P0176"/>
    <s v="C025"/>
    <d v="2024-06-18T00:00:00"/>
    <x v="0"/>
    <s v="Yes"/>
    <s v="Communication"/>
  </r>
  <r>
    <s v="F00069"/>
    <s v="P0178"/>
    <s v="C065"/>
    <d v="2026-06-07T00:00:00"/>
    <x v="2"/>
    <s v="No"/>
    <s v="Communication"/>
  </r>
  <r>
    <s v="F00070"/>
    <s v="P0179"/>
    <s v="C049"/>
    <d v="2026-07-12T00:00:00"/>
    <x v="0"/>
    <s v="Yes"/>
    <s v="Support"/>
  </r>
  <r>
    <s v="F00071"/>
    <s v="P0180"/>
    <s v="C003"/>
    <d v="2025-03-21T00:00:00"/>
    <x v="0"/>
    <s v="Yes"/>
    <s v="Quality"/>
  </r>
  <r>
    <s v="F00072"/>
    <s v="P0182"/>
    <s v="C014"/>
    <d v="2025-12-12T00:00:00"/>
    <x v="1"/>
    <s v="Yes"/>
    <s v="Support"/>
  </r>
  <r>
    <s v="F00073"/>
    <s v="P0189"/>
    <s v="C048"/>
    <d v="2026-05-09T00:00:00"/>
    <x v="1"/>
    <s v="Yes"/>
    <s v="Quality"/>
  </r>
  <r>
    <s v="F00074"/>
    <s v="P0192"/>
    <s v="C079"/>
    <d v="2024-12-28T00:00:00"/>
    <x v="0"/>
    <s v="Yes"/>
    <s v="Communication"/>
  </r>
  <r>
    <s v="F00075"/>
    <s v="P0193"/>
    <s v="C073"/>
    <d v="2025-08-04T00:00:00"/>
    <x v="3"/>
    <s v="No"/>
    <s v="Value"/>
  </r>
  <r>
    <s v="F00076"/>
    <s v="P0206"/>
    <s v="C046"/>
    <d v="2026-10-24T00:00:00"/>
    <x v="0"/>
    <s v="Yes"/>
    <s v="Quality"/>
  </r>
  <r>
    <s v="F00077"/>
    <s v="P0207"/>
    <s v="C011"/>
    <d v="2025-10-12T00:00:00"/>
    <x v="2"/>
    <s v="No"/>
    <s v="Value"/>
  </r>
  <r>
    <s v="F00078"/>
    <s v="P0208"/>
    <s v="C062"/>
    <d v="2025-08-23T00:00:00"/>
    <x v="2"/>
    <s v="No"/>
    <s v="Communication"/>
  </r>
  <r>
    <s v="F00079"/>
    <s v="P0219"/>
    <s v="C074"/>
    <d v="2026-09-19T00:00:00"/>
    <x v="0"/>
    <s v="Yes"/>
    <s v="Val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9B1B4-07C3-4921-9D7A-54DDC92FA21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3:U12" firstHeaderRow="0" firstDataRow="1" firstDataCol="1"/>
  <pivotFields count="14">
    <pivotField showAll="0"/>
    <pivotField showAll="0"/>
    <pivotField axis="axisRow" showAll="0">
      <items count="9">
        <item x="1"/>
        <item x="0"/>
        <item x="2"/>
        <item x="7"/>
        <item x="5"/>
        <item x="4"/>
        <item x="6"/>
        <item x="3"/>
        <item t="default"/>
      </items>
    </pivotField>
    <pivotField showAll="0"/>
    <pivotField numFmtId="164" showAll="0"/>
    <pivotField showAll="0"/>
    <pivotField numFmtId="164" showAll="0"/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_Cost" fld="9" baseField="0" baseItem="0"/>
    <dataField name="Sum of Actual_Cost" fld="10" baseField="0" baseItem="0"/>
  </dataFields>
  <formats count="14"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2" type="button" dataOnly="0" labelOnly="1" outline="0" axis="axisRow" fieldPosition="0"/>
    </format>
    <format dxfId="110">
      <pivotArea dataOnly="0" labelOnly="1" fieldPosition="0">
        <references count="1">
          <reference field="2" count="0"/>
        </references>
      </pivotArea>
    </format>
    <format dxfId="109">
      <pivotArea dataOnly="0" labelOnly="1" grandRow="1" outline="0" fieldPosition="0"/>
    </format>
    <format dxfId="1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2" type="button" dataOnly="0" labelOnly="1" outline="0" axis="axisRow" fieldPosition="0"/>
    </format>
    <format dxfId="104">
      <pivotArea dataOnly="0" labelOnly="1" fieldPosition="0">
        <references count="1">
          <reference field="2" count="0"/>
        </references>
      </pivotArea>
    </format>
    <format dxfId="103">
      <pivotArea dataOnly="0" labelOnly="1" grandRow="1" outline="0" fieldPosition="0"/>
    </format>
    <format dxfId="1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>
      <pivotArea outline="0" collapsedLevelsAreSubtotals="1" fieldPosition="0"/>
    </format>
    <format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CC5B7-C22A-46E4-932C-42A4D595F711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P11:Q20" firstHeaderRow="1" firstDataRow="1" firstDataCol="1"/>
  <pivotFields count="14">
    <pivotField showAll="0"/>
    <pivotField showAll="0"/>
    <pivotField axis="axisRow" showAll="0">
      <items count="9">
        <item x="1"/>
        <item x="0"/>
        <item x="2"/>
        <item x="7"/>
        <item x="5"/>
        <item x="4"/>
        <item x="6"/>
        <item x="3"/>
        <item t="default"/>
      </items>
    </pivotField>
    <pivotField showAll="0"/>
    <pivotField numFmtId="164" showAll="0"/>
    <pivotField showAll="0"/>
    <pivotField numFmtId="164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Contract_Value" fld="8" baseField="0" baseItem="0"/>
  </dataFields>
  <formats count="14"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2" type="button" dataOnly="0" labelOnly="1" outline="0" axis="axisRow" fieldPosition="0"/>
    </format>
    <format dxfId="122">
      <pivotArea dataOnly="0" labelOnly="1" fieldPosition="0">
        <references count="1">
          <reference field="2" count="0"/>
        </references>
      </pivotArea>
    </format>
    <format dxfId="121">
      <pivotArea dataOnly="0" labelOnly="1" grandRow="1" outline="0" fieldPosition="0"/>
    </format>
    <format dxfId="120">
      <pivotArea dataOnly="0" labelOnly="1" outline="0" axis="axisValues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2" type="button" dataOnly="0" labelOnly="1" outline="0" axis="axisRow" fieldPosition="0"/>
    </format>
    <format dxfId="116">
      <pivotArea dataOnly="0" labelOnly="1" fieldPosition="0">
        <references count="1">
          <reference field="2" count="0"/>
        </references>
      </pivotArea>
    </format>
    <format dxfId="115">
      <pivotArea dataOnly="0" labelOnly="1" grandRow="1" outline="0" fieldPosition="0"/>
    </format>
    <format dxfId="114">
      <pivotArea dataOnly="0" labelOnly="1" outline="0" axis="axisValues" fieldPosition="0"/>
    </format>
    <format>
      <pivotArea outline="0" collapsedLevelsAreSubtotals="1" fieldPosition="0"/>
    </format>
    <format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AC676-2FB7-4436-B6A2-1714820405C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Q8" firstHeaderRow="1" firstDataRow="1" firstDataCol="1"/>
  <pivotFields count="14">
    <pivotField dataField="1" showAll="0"/>
    <pivotField showAll="0"/>
    <pivotField showAll="0"/>
    <pivotField showAll="0"/>
    <pivotField numFmtId="164" showAll="0"/>
    <pivotField showAll="0"/>
    <pivotField numFmtId="164"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oject_ID" fld="0" subtotal="count" baseField="0" baseItem="0"/>
  </dataFields>
  <formats count="12">
    <format dxfId="137">
      <pivotArea type="all" dataOnly="0" outline="0" fieldPosition="0"/>
    </format>
    <format dxfId="136">
      <pivotArea outline="0" collapsedLevelsAreSubtotals="1" fieldPosition="0"/>
    </format>
    <format dxfId="135">
      <pivotArea field="7" type="button" dataOnly="0" labelOnly="1" outline="0" axis="axisRow" fieldPosition="0"/>
    </format>
    <format dxfId="134">
      <pivotArea dataOnly="0" labelOnly="1" fieldPosition="0">
        <references count="1">
          <reference field="7" count="0"/>
        </references>
      </pivotArea>
    </format>
    <format dxfId="133">
      <pivotArea dataOnly="0" labelOnly="1" grandRow="1" outline="0" fieldPosition="0"/>
    </format>
    <format dxfId="132">
      <pivotArea dataOnly="0" labelOnly="1" outline="0" axis="axisValues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7" type="button" dataOnly="0" labelOnly="1" outline="0" axis="axisRow" fieldPosition="0"/>
    </format>
    <format dxfId="128">
      <pivotArea dataOnly="0" labelOnly="1" fieldPosition="0">
        <references count="1">
          <reference field="7" count="0"/>
        </references>
      </pivotArea>
    </format>
    <format dxfId="127">
      <pivotArea dataOnly="0" labelOnly="1" grandRow="1" outline="0" fieldPosition="0"/>
    </format>
    <format dxfId="1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CDA9A-F89A-4550-B503-AABEE15C8029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K48" firstHeaderRow="0" firstDataRow="1" firstDataCol="1"/>
  <pivotFields count="6">
    <pivotField showAll="0"/>
    <pivotField showAll="0"/>
    <pivotField axis="axisRow" showAll="0">
      <items count="46">
        <item x="40"/>
        <item x="15"/>
        <item x="41"/>
        <item x="19"/>
        <item x="21"/>
        <item x="33"/>
        <item x="8"/>
        <item x="39"/>
        <item x="22"/>
        <item x="14"/>
        <item x="26"/>
        <item x="17"/>
        <item x="1"/>
        <item x="0"/>
        <item x="27"/>
        <item x="24"/>
        <item x="9"/>
        <item x="12"/>
        <item x="43"/>
        <item x="3"/>
        <item x="30"/>
        <item x="35"/>
        <item x="31"/>
        <item x="32"/>
        <item x="34"/>
        <item x="4"/>
        <item x="2"/>
        <item x="36"/>
        <item x="16"/>
        <item x="6"/>
        <item x="18"/>
        <item x="7"/>
        <item x="29"/>
        <item x="42"/>
        <item x="37"/>
        <item x="10"/>
        <item x="28"/>
        <item x="38"/>
        <item x="44"/>
        <item x="5"/>
        <item x="11"/>
        <item x="20"/>
        <item x="23"/>
        <item x="13"/>
        <item x="25"/>
        <item t="default"/>
      </items>
    </pivotField>
    <pivotField showAll="0"/>
    <pivotField dataField="1" showAll="0"/>
    <pivotField dataField="1" showAll="0"/>
  </pivotFields>
  <rowFields count="1">
    <field x="2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illable_Hours" fld="4" baseField="0" baseItem="0"/>
    <dataField name="Sum of Worked_Hours" fld="5" baseField="0" baseItem="0"/>
  </dataFields>
  <formats count="12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2" type="button" dataOnly="0" labelOnly="1" outline="0" axis="axisRow" fieldPosition="0"/>
    </format>
    <format dxfId="59">
      <pivotArea dataOnly="0" labelOnly="1" fieldPosition="0">
        <references count="1">
          <reference field="2" count="0"/>
        </references>
      </pivotArea>
    </format>
    <format dxfId="58">
      <pivotArea dataOnly="0" labelOnly="1" grandRow="1" outline="0" fieldPosition="0"/>
    </format>
    <format dxfId="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2" type="button" dataOnly="0" labelOnly="1" outline="0" axis="axisRow" fieldPosition="0"/>
    </format>
    <format dxfId="53">
      <pivotArea dataOnly="0" labelOnly="1" fieldPosition="0">
        <references count="1">
          <reference field="2" count="0"/>
        </references>
      </pivotArea>
    </format>
    <format dxfId="52">
      <pivotArea dataOnly="0" labelOnly="1" grandRow="1" outline="0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DD657-E977-410A-B522-E86FF698EFDE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J7" firstHeaderRow="1" firstDataRow="1" firstDataCol="1"/>
  <pivotFields count="7">
    <pivotField dataField="1" showAll="0"/>
    <pivotField showAll="0"/>
    <pivotField showAll="0"/>
    <pivotField numFmtId="164"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Feedback_ID" fld="0" subtotal="count" baseField="0" baseItem="0"/>
  </dataFields>
  <formats count="12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4" type="button" dataOnly="0" labelOnly="1" outline="0" axis="axisRow" fieldPosition="0"/>
    </format>
    <format dxfId="21">
      <pivotArea dataOnly="0" labelOnly="1" fieldPosition="0">
        <references count="1">
          <reference field="4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4" type="button" dataOnly="0" labelOnly="1" outline="0" axis="axisRow" fieldPosition="0"/>
    </format>
    <format dxfId="15">
      <pivotArea dataOnly="0" labelOnly="1" fieldPosition="0">
        <references count="1">
          <reference field="4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3C9EBC-DF31-4A8D-A75D-33BE48272218}" name="Table1" displayName="Table1" ref="A1:F81" totalsRowShown="0" headerRowDxfId="159" dataDxfId="157" headerRowBorderDxfId="158" tableBorderDxfId="156">
  <autoFilter ref="A1:F81" xr:uid="{E93C9EBC-DF31-4A8D-A75D-33BE48272218}"/>
  <tableColumns count="6">
    <tableColumn id="1" xr3:uid="{63245255-29FC-4E35-9101-9F909F01DA1D}" name="Client_ID" dataDxfId="155"/>
    <tableColumn id="2" xr3:uid="{6C9C0169-5426-45D2-A2E3-EC88D49B3389}" name="Client_Name" dataDxfId="154"/>
    <tableColumn id="3" xr3:uid="{8C60F09B-296F-4A4A-AD1B-8C6C6314F41A}" name="Industry" dataDxfId="153"/>
    <tableColumn id="4" xr3:uid="{5EC123A9-8DB0-4D11-BAAA-19C34290ECAC}" name="City" dataDxfId="152"/>
    <tableColumn id="5" xr3:uid="{19D84B0C-CFB6-4DFD-9FCF-4FAEF0F7F759}" name="Client_Segment" dataDxfId="151"/>
    <tableColumn id="6" xr3:uid="{43F38082-02B4-4D73-8C39-190610FDE7EB}" name="Onboard_Date" dataDxfId="15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E98C0A3-2A25-4024-A7A8-A692060C3E39}" name="Table9" displayName="Table9" ref="J9:K10" totalsRowShown="0" headerRowDxfId="149" dataDxfId="148">
  <autoFilter ref="J9:K10" xr:uid="{4E98C0A3-2A25-4024-A7A8-A692060C3E39}"/>
  <tableColumns count="2">
    <tableColumn id="1" xr3:uid="{CE3A9166-64A0-4333-AD21-86D1B28337CD}" name="CountA" dataDxfId="147">
      <calculatedColumnFormula>COUNTA(A2:A81)</calculatedColumnFormula>
    </tableColumn>
    <tableColumn id="2" xr3:uid="{E57CB610-C740-4CB0-B240-A62004BBEF5A}" name="CountA Unique" dataDxfId="146">
      <calculatedColumnFormula>COUNTA(_xlfn.UNIQUE(A2:A81))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802BA7-900D-44EB-9E9D-235E93EDCACA}" name="Table2" displayName="Table2" ref="A1:D9" totalsRowShown="0" headerRowDxfId="145" dataDxfId="143" headerRowBorderDxfId="144" tableBorderDxfId="142">
  <autoFilter ref="A1:D9" xr:uid="{BF802BA7-900D-44EB-9E9D-235E93EDCACA}"/>
  <tableColumns count="4">
    <tableColumn id="1" xr3:uid="{A1177908-CFB6-487B-8148-C4B96D2BDB67}" name="Service_ID" dataDxfId="141"/>
    <tableColumn id="2" xr3:uid="{6FA39756-2CD6-46CD-A24D-D014BC7BD983}" name="Service_Name" dataDxfId="140"/>
    <tableColumn id="3" xr3:uid="{9B6EAD18-0BFF-450F-9437-6C8153185648}" name="Service_Category" dataDxfId="139"/>
    <tableColumn id="4" xr3:uid="{8283ADF7-4599-43E7-828F-8FFEACCF0B28}" name="Base_Project_Value" dataDxfId="13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B60C69-4AE9-4881-A9D3-37590F26C4FD}" name="Table3" displayName="Table3" ref="A1:N221" totalsRowShown="0" headerRowDxfId="101" dataDxfId="99" headerRowBorderDxfId="100" tableBorderDxfId="98">
  <autoFilter ref="A1:N221" xr:uid="{F2B60C69-4AE9-4881-A9D3-37590F26C4FD}"/>
  <tableColumns count="14">
    <tableColumn id="1" xr3:uid="{94FE736A-B5E4-4A3B-856F-EFF8717F848A}" name="Project_ID" dataDxfId="97"/>
    <tableColumn id="2" xr3:uid="{40B59F92-AD6C-40D6-81F8-E2F1DD2064A2}" name="Client_ID" dataDxfId="96"/>
    <tableColumn id="3" xr3:uid="{4B5D0547-8DE6-4C61-BE87-FAF1D1FDC939}" name="Service_ID" dataDxfId="95"/>
    <tableColumn id="4" xr3:uid="{57C59950-593B-4A2A-8AFE-5AF323EA0172}" name="Project_Name" dataDxfId="94"/>
    <tableColumn id="5" xr3:uid="{7DE52721-3613-44B8-87C5-731B74539DC2}" name="Start_Date" dataDxfId="93"/>
    <tableColumn id="6" xr3:uid="{0424EBBE-9C1A-49A0-97C6-180ADD9CE2F4}" name="Planned_Duration_Days" dataDxfId="92"/>
    <tableColumn id="7" xr3:uid="{F6C6CFD8-4985-4361-8A55-D333EEF791CA}" name="Planned_End_Date" dataDxfId="91"/>
    <tableColumn id="8" xr3:uid="{19668295-8365-4E7E-87C2-49ADADC9A0C8}" name="Status" dataDxfId="90"/>
    <tableColumn id="9" xr3:uid="{62D9AF73-1226-496F-B9C9-6FEDD67B2222}" name="Contract_Value" dataDxfId="89"/>
    <tableColumn id="10" xr3:uid="{D8BA8C57-94E3-47F5-9E6B-6BA36FAAAD28}" name="Budget_Cost" dataDxfId="88"/>
    <tableColumn id="11" xr3:uid="{89C6F536-4B79-4056-BB81-E63D02E211B5}" name="Actual_Cost" dataDxfId="87"/>
    <tableColumn id="12" xr3:uid="{4655D4E7-D003-48BF-8F7E-99EDE9AD0E91}" name="Actual_Duration_Days" dataDxfId="86"/>
    <tableColumn id="13" xr3:uid="{485C14FB-11F8-4AB4-AC81-1084A6D16F87}" name="Actual_End_Date" dataDxfId="85"/>
    <tableColumn id="14" xr3:uid="{0BFA9931-2DDE-4B13-95AF-A31550DDBE6D}" name="On_Time_Flag" dataDxfId="8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FE30B46-6258-4234-A1AE-79F2B0C254C5}" name="Table10" displayName="Table10" ref="P24:Q25" totalsRowShown="0" headerRowDxfId="83" dataDxfId="82">
  <autoFilter ref="P24:Q25" xr:uid="{9FE30B46-6258-4234-A1AE-79F2B0C254C5}"/>
  <tableColumns count="2">
    <tableColumn id="1" xr3:uid="{FED68F6C-63BB-4BBC-B43B-73ADE9F6050E}" name="CountA" dataDxfId="81">
      <calculatedColumnFormula>COUNTA(A2:A221)</calculatedColumnFormula>
    </tableColumn>
    <tableColumn id="2" xr3:uid="{9EC4954C-6552-48F6-B1C2-C403927A77D5}" name="CountA Unique" dataDxfId="80">
      <calculatedColumnFormula>COUNTA(_xlfn.UNIQUE(A2:A221))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54C67D6-7A52-4DF9-892B-352249AB249F}" name="Table11" displayName="Table11" ref="P28:U29" totalsRowShown="0" headerRowDxfId="79" dataDxfId="78">
  <autoFilter ref="P28:U29" xr:uid="{154C67D6-7A52-4DF9-892B-352249AB249F}"/>
  <tableColumns count="6">
    <tableColumn id="1" xr3:uid="{26F9370E-8FC8-4C5A-9E9C-BC455828E535}" name="Completed " dataDxfId="77">
      <calculatedColumnFormula>COUNTIFS(H2:H221,"Completed")</calculatedColumnFormula>
    </tableColumn>
    <tableColumn id="2" xr3:uid="{20346C88-829A-49CA-BEDA-33F70E0B21EA}" name="Active" dataDxfId="76">
      <calculatedColumnFormula>COUNTIFS(H2:H221,"Active")</calculatedColumnFormula>
    </tableColumn>
    <tableColumn id="3" xr3:uid="{C29F7D74-6C1F-4CBB-8A2C-284D1A236D80}" name="Cancelled" dataDxfId="75">
      <calculatedColumnFormula>COUNTIFS(H2:H221,"Cancelled")</calculatedColumnFormula>
    </tableColumn>
    <tableColumn id="4" xr3:uid="{EF53E334-E7F7-4AEA-B4C0-6B3C8F2EABAE}" name="On Hold" dataDxfId="74">
      <calculatedColumnFormula>COUNTIFS(H2:H221,"On Hold")</calculatedColumnFormula>
    </tableColumn>
    <tableColumn id="5" xr3:uid="{DBBFD352-68DB-41B7-95A9-90765C139E0D}" name="Late Completed Projects" dataDxfId="73">
      <calculatedColumnFormula>COUNTIFS(H2:H221,"completed",N2:N221,1)</calculatedColumnFormula>
    </tableColumn>
    <tableColumn id="6" xr3:uid="{F0A3258F-F1A3-4946-9293-9545297891F7}" name="Completion Rate" dataDxfId="72" dataCellStyle="Percent">
      <calculatedColumnFormula>COUNTIFS(H2:H221,"completed")/COUNTA(A2:A221)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E48ADF-A82E-4F03-9E13-923889D5E371}" name="Table4" displayName="Table4" ref="A1:E46" totalsRowShown="0" headerRowDxfId="71" dataDxfId="69" headerRowBorderDxfId="70" tableBorderDxfId="68">
  <autoFilter ref="A1:E46" xr:uid="{63E48ADF-A82E-4F03-9E13-923889D5E371}"/>
  <tableColumns count="5">
    <tableColumn id="1" xr3:uid="{0B5EEA3D-E69E-4456-86D9-444496C4FD27}" name="Employee_ID" dataDxfId="67"/>
    <tableColumn id="2" xr3:uid="{F094EB63-8D75-4E54-B273-6759D55DE2E6}" name="Employee_Name" dataDxfId="66"/>
    <tableColumn id="3" xr3:uid="{379BE2DF-AFBF-4159-8FE7-5C00D1B3F8F0}" name="Department" dataDxfId="65"/>
    <tableColumn id="4" xr3:uid="{7CD34920-BB68-4459-BFED-E5389304DDD0}" name="Job_Level" dataDxfId="64"/>
    <tableColumn id="5" xr3:uid="{471BB210-0ABD-49B5-A9D4-217A52596B74}" name="Joining_Date" dataDxfId="6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355DFF-DE4F-4102-A46A-83FCF2B46F6F}" name="Table5" displayName="Table5" ref="A1:F710" totalsRowShown="0" headerRowDxfId="50" dataDxfId="48" headerRowBorderDxfId="49" tableBorderDxfId="47">
  <autoFilter ref="A1:F710" xr:uid="{F0355DFF-DE4F-4102-A46A-83FCF2B46F6F}"/>
  <tableColumns count="6">
    <tableColumn id="1" xr3:uid="{63A7E6CB-C64D-4BFF-BF91-56D823F4FD3B}" name="Assignment_ID" dataDxfId="46"/>
    <tableColumn id="2" xr3:uid="{C3B6DD28-605F-4B98-865A-2AD09B0E31E3}" name="Project_ID" dataDxfId="45"/>
    <tableColumn id="3" xr3:uid="{FB18C321-C1E2-4542-B066-2B3378EACC1D}" name="Employee_ID" dataDxfId="44"/>
    <tableColumn id="4" xr3:uid="{40DA23D1-0DA9-44C3-9D84-FA4E4D2238EF}" name="Allocation_Percent" dataDxfId="43" dataCellStyle="Percent"/>
    <tableColumn id="5" xr3:uid="{08DA4360-CD4B-40B5-A854-48CF59BFEBE6}" name="Billable_Hours" dataDxfId="42"/>
    <tableColumn id="6" xr3:uid="{BE0410FA-C16F-4767-A02C-A5BD01D595B3}" name="Worked_Hours" dataDxfId="41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9714DD-6892-4E0E-99DE-07E5C092A74C}" name="Table6" displayName="Table6" ref="A1:G447" totalsRowShown="0" headerRowDxfId="40" dataDxfId="38" headerRowBorderDxfId="39" tableBorderDxfId="37">
  <autoFilter ref="A1:G447" xr:uid="{569714DD-6892-4E0E-99DE-07E5C092A74C}"/>
  <tableColumns count="7">
    <tableColumn id="1" xr3:uid="{F24DF71E-6F9B-4248-83A3-8101C75FFD4D}" name="Invoice_ID" dataDxfId="36"/>
    <tableColumn id="2" xr3:uid="{466BE733-790E-459E-87AB-AB5ABF442956}" name="Project_ID" dataDxfId="35"/>
    <tableColumn id="3" xr3:uid="{B2721719-4507-441F-BD82-B01251E20815}" name="Client_ID" dataDxfId="34"/>
    <tableColumn id="4" xr3:uid="{B4D20662-91D5-4350-BC5B-32F5394DAF4F}" name="Invoice_Date" dataDxfId="33"/>
    <tableColumn id="5" xr3:uid="{B8D00E30-E761-4056-A70A-96EB3B91CCC3}" name="Invoice_Amount" dataDxfId="32"/>
    <tableColumn id="6" xr3:uid="{ED5F5CCD-CB81-4514-B806-5A5FE9756077}" name="Payment_Status" dataDxfId="31"/>
    <tableColumn id="7" xr3:uid="{C2AC8097-DC09-4F79-A4F7-3452C288421E}" name="Payment_Date" dataDxfId="30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AD883DF-9FED-4A72-AA83-192F10570B37}" name="Table13" displayName="Table13" ref="I1:K2" totalsRowShown="0" headerRowDxfId="29" dataDxfId="28">
  <autoFilter ref="I1:K2" xr:uid="{7AD883DF-9FED-4A72-AA83-192F10570B37}"/>
  <tableColumns count="3">
    <tableColumn id="1" xr3:uid="{13C99AD9-9908-48BD-ABE6-6D5DE96444B2}" name="Total Paid" dataDxfId="27">
      <calculatedColumnFormula>COUNTIFS(F2:F447,"Paid")</calculatedColumnFormula>
    </tableColumn>
    <tableColumn id="2" xr3:uid="{86FBEE66-31C3-4BFC-A949-5936B28F3F33}" name="Total Pending" dataDxfId="26">
      <calculatedColumnFormula>COUNTIFS(F2:F447,"Pending")</calculatedColumnFormula>
    </tableColumn>
    <tableColumn id="3" xr3:uid="{C43905AE-01A1-44DB-A0EF-160094A2AAFE}" name="Total OverDue" dataDxfId="25">
      <calculatedColumnFormula>COUNTIFS(F2:F447,"Overdue")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B9E283-FFFB-42BC-832E-F3A304ED7181}" name="Table7" displayName="Table7" ref="A1:G80" totalsRowShown="0" headerRowDxfId="12" dataDxfId="10" headerRowBorderDxfId="11" tableBorderDxfId="9">
  <autoFilter ref="A1:G80" xr:uid="{15B9E283-FFFB-42BC-832E-F3A304ED7181}"/>
  <tableColumns count="7">
    <tableColumn id="1" xr3:uid="{72F12F23-73E9-49A8-808F-111081EEB99D}" name="Feedback_ID" dataDxfId="8"/>
    <tableColumn id="2" xr3:uid="{7C9FE5A0-7BC0-40A3-885F-43EE3BC74816}" name="Project_ID" dataDxfId="7"/>
    <tableColumn id="3" xr3:uid="{EC3911DB-B2CD-4A66-8054-ED2CDB477C2B}" name="Client_ID" dataDxfId="6"/>
    <tableColumn id="4" xr3:uid="{466B6462-DAB0-491D-978D-ABBFA291E91D}" name="Feedback_Date" dataDxfId="5"/>
    <tableColumn id="5" xr3:uid="{D0B25B73-0D19-4975-93A7-222125B9024C}" name="Satisfaction_Rating" dataDxfId="4"/>
    <tableColumn id="6" xr3:uid="{BBFE5D37-4E4B-4A55-A107-160156C7C727}" name="Recommendation" dataDxfId="3"/>
    <tableColumn id="7" xr3:uid="{D8A4BC73-AAEC-4BCB-9C8E-18425826D3FA}" name="Feedback_Category" dataDxfId="2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5A65A4D-856B-4ADF-BCF0-81B894B0BBEA}" name="Table12" displayName="Table12" ref="I12:I13" totalsRowShown="0" dataDxfId="1">
  <autoFilter ref="I12:I13" xr:uid="{85A65A4D-856B-4ADF-BCF0-81B894B0BBEA}"/>
  <tableColumns count="1">
    <tableColumn id="1" xr3:uid="{B16A55FD-1558-4467-BDAF-0110913FBCA8}" name="High Satisfaction Feedback" dataDxfId="0">
      <calculatedColumnFormula>COUNTIFS(E2:E80,"&gt;=4")</calculatedColumn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1DF257B-92E1-4539-BE94-17839A0E8FB4}" name="Table8" displayName="Table8" ref="A1:F696" totalsRowShown="0" headerRowDxfId="169" dataDxfId="167" headerRowBorderDxfId="168" tableBorderDxfId="166">
  <autoFilter ref="A1:F696" xr:uid="{F1DF257B-92E1-4539-BE94-17839A0E8FB4}"/>
  <tableColumns count="6">
    <tableColumn id="1" xr3:uid="{CDE3763A-5539-42F6-99AF-4423D362FFAB}" name="Date" dataDxfId="165"/>
    <tableColumn id="2" xr3:uid="{4ECAC41B-561C-40FF-A307-9C6E6BDC2F99}" name="Year" dataDxfId="164"/>
    <tableColumn id="3" xr3:uid="{84052EA1-EF6E-44D9-9635-7E45F1D1782D}" name="Quarter" dataDxfId="163"/>
    <tableColumn id="4" xr3:uid="{7E2ED548-C2FB-4767-8EFA-DD576FAF0872}" name="Month_Number" dataDxfId="162"/>
    <tableColumn id="5" xr3:uid="{66EA83A2-CA7E-4BC7-89D8-8658D5B22757}" name="Month" dataDxfId="161"/>
    <tableColumn id="6" xr3:uid="{10EE9B89-0066-458F-8F62-890133B88356}" name="Year_Month" dataDxfId="16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1"/>
  <sheetViews>
    <sheetView workbookViewId="0">
      <selection activeCell="M16" sqref="M16"/>
    </sheetView>
  </sheetViews>
  <sheetFormatPr defaultRowHeight="14.4" x14ac:dyDescent="0.3"/>
  <cols>
    <col min="1" max="1" width="10.44140625" customWidth="1"/>
    <col min="2" max="2" width="14.88671875" customWidth="1"/>
    <col min="3" max="3" width="19.44140625" customWidth="1"/>
    <col min="4" max="4" width="16.44140625" customWidth="1"/>
    <col min="5" max="5" width="19.6640625" customWidth="1"/>
    <col min="6" max="6" width="30.88671875" customWidth="1"/>
    <col min="10" max="10" width="9.21875" customWidth="1"/>
    <col min="11" max="11" width="15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45087</v>
      </c>
    </row>
    <row r="3" spans="1:11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>
        <v>45727</v>
      </c>
    </row>
    <row r="4" spans="1:11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3">
        <v>45324</v>
      </c>
    </row>
    <row r="5" spans="1:11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20</v>
      </c>
      <c r="F5" s="3">
        <v>45742</v>
      </c>
    </row>
    <row r="6" spans="1:11" x14ac:dyDescent="0.3">
      <c r="A6" s="2" t="s">
        <v>25</v>
      </c>
      <c r="B6" s="2" t="s">
        <v>26</v>
      </c>
      <c r="C6" s="2" t="s">
        <v>8</v>
      </c>
      <c r="D6" s="2" t="s">
        <v>19</v>
      </c>
      <c r="E6" s="2" t="s">
        <v>15</v>
      </c>
      <c r="F6" s="3">
        <v>45327</v>
      </c>
    </row>
    <row r="7" spans="1:11" x14ac:dyDescent="0.3">
      <c r="A7" s="2" t="s">
        <v>27</v>
      </c>
      <c r="B7" s="2" t="s">
        <v>28</v>
      </c>
      <c r="C7" s="2" t="s">
        <v>29</v>
      </c>
      <c r="D7" s="2" t="s">
        <v>19</v>
      </c>
      <c r="E7" s="2" t="s">
        <v>10</v>
      </c>
      <c r="F7" s="3">
        <v>45566</v>
      </c>
    </row>
    <row r="8" spans="1:11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10</v>
      </c>
      <c r="F8" s="3">
        <v>45983</v>
      </c>
    </row>
    <row r="9" spans="1:11" x14ac:dyDescent="0.3">
      <c r="A9" s="2" t="s">
        <v>34</v>
      </c>
      <c r="B9" s="2" t="s">
        <v>35</v>
      </c>
      <c r="C9" s="2" t="s">
        <v>8</v>
      </c>
      <c r="D9" s="2" t="s">
        <v>24</v>
      </c>
      <c r="E9" s="2" t="s">
        <v>15</v>
      </c>
      <c r="F9" s="3">
        <v>45614</v>
      </c>
      <c r="J9" s="2" t="s">
        <v>2077</v>
      </c>
      <c r="K9" s="2" t="s">
        <v>2078</v>
      </c>
    </row>
    <row r="10" spans="1:11" x14ac:dyDescent="0.3">
      <c r="A10" s="2" t="s">
        <v>36</v>
      </c>
      <c r="B10" s="2" t="s">
        <v>37</v>
      </c>
      <c r="C10" s="2" t="s">
        <v>18</v>
      </c>
      <c r="D10" s="2" t="s">
        <v>19</v>
      </c>
      <c r="E10" s="2" t="s">
        <v>20</v>
      </c>
      <c r="F10" s="3">
        <v>45386</v>
      </c>
      <c r="J10" s="2">
        <f>COUNTA(A2:A81)</f>
        <v>80</v>
      </c>
      <c r="K10" s="2">
        <f>COUNTA(_xlfn.UNIQUE(A2:A81))</f>
        <v>80</v>
      </c>
    </row>
    <row r="11" spans="1:11" x14ac:dyDescent="0.3">
      <c r="A11" s="2" t="s">
        <v>38</v>
      </c>
      <c r="B11" s="2" t="s">
        <v>39</v>
      </c>
      <c r="C11" s="2" t="s">
        <v>23</v>
      </c>
      <c r="D11" s="2" t="s">
        <v>33</v>
      </c>
      <c r="E11" s="2" t="s">
        <v>15</v>
      </c>
      <c r="F11" s="3">
        <v>45881</v>
      </c>
    </row>
    <row r="12" spans="1:11" x14ac:dyDescent="0.3">
      <c r="A12" s="2" t="s">
        <v>40</v>
      </c>
      <c r="B12" s="2" t="s">
        <v>41</v>
      </c>
      <c r="C12" s="2" t="s">
        <v>13</v>
      </c>
      <c r="D12" s="2" t="s">
        <v>33</v>
      </c>
      <c r="E12" s="2" t="s">
        <v>15</v>
      </c>
      <c r="F12" s="3">
        <v>45396</v>
      </c>
    </row>
    <row r="13" spans="1:11" x14ac:dyDescent="0.3">
      <c r="A13" s="2" t="s">
        <v>42</v>
      </c>
      <c r="B13" s="2" t="s">
        <v>43</v>
      </c>
      <c r="C13" s="2" t="s">
        <v>18</v>
      </c>
      <c r="D13" s="2" t="s">
        <v>24</v>
      </c>
      <c r="E13" s="2" t="s">
        <v>15</v>
      </c>
      <c r="F13" s="3">
        <v>45972</v>
      </c>
    </row>
    <row r="14" spans="1:11" x14ac:dyDescent="0.3">
      <c r="A14" s="2" t="s">
        <v>44</v>
      </c>
      <c r="B14" s="2" t="s">
        <v>45</v>
      </c>
      <c r="C14" s="2" t="s">
        <v>18</v>
      </c>
      <c r="D14" s="2" t="s">
        <v>46</v>
      </c>
      <c r="E14" s="2" t="s">
        <v>20</v>
      </c>
      <c r="F14" s="3">
        <v>45676</v>
      </c>
    </row>
    <row r="15" spans="1:11" x14ac:dyDescent="0.3">
      <c r="A15" s="2" t="s">
        <v>47</v>
      </c>
      <c r="B15" s="2" t="s">
        <v>48</v>
      </c>
      <c r="C15" s="2" t="s">
        <v>32</v>
      </c>
      <c r="D15" s="2" t="s">
        <v>49</v>
      </c>
      <c r="E15" s="2" t="s">
        <v>20</v>
      </c>
      <c r="F15" s="3">
        <v>44964</v>
      </c>
    </row>
    <row r="16" spans="1:11" x14ac:dyDescent="0.3">
      <c r="A16" s="2" t="s">
        <v>50</v>
      </c>
      <c r="B16" s="2" t="s">
        <v>51</v>
      </c>
      <c r="C16" s="2" t="s">
        <v>52</v>
      </c>
      <c r="D16" s="2" t="s">
        <v>9</v>
      </c>
      <c r="E16" s="2" t="s">
        <v>15</v>
      </c>
      <c r="F16" s="3">
        <v>45156</v>
      </c>
    </row>
    <row r="17" spans="1:6" x14ac:dyDescent="0.3">
      <c r="A17" s="2" t="s">
        <v>53</v>
      </c>
      <c r="B17" s="2" t="s">
        <v>54</v>
      </c>
      <c r="C17" s="2" t="s">
        <v>23</v>
      </c>
      <c r="D17" s="2" t="s">
        <v>49</v>
      </c>
      <c r="E17" s="2" t="s">
        <v>15</v>
      </c>
      <c r="F17" s="3">
        <v>45489</v>
      </c>
    </row>
    <row r="18" spans="1:6" x14ac:dyDescent="0.3">
      <c r="A18" s="2" t="s">
        <v>55</v>
      </c>
      <c r="B18" s="2" t="s">
        <v>56</v>
      </c>
      <c r="C18" s="2" t="s">
        <v>57</v>
      </c>
      <c r="D18" s="2" t="s">
        <v>14</v>
      </c>
      <c r="E18" s="2" t="s">
        <v>10</v>
      </c>
      <c r="F18" s="3">
        <v>45364</v>
      </c>
    </row>
    <row r="19" spans="1:6" x14ac:dyDescent="0.3">
      <c r="A19" s="2" t="s">
        <v>58</v>
      </c>
      <c r="B19" s="2" t="s">
        <v>59</v>
      </c>
      <c r="C19" s="2" t="s">
        <v>18</v>
      </c>
      <c r="D19" s="2" t="s">
        <v>9</v>
      </c>
      <c r="E19" s="2" t="s">
        <v>15</v>
      </c>
      <c r="F19" s="3">
        <v>44953</v>
      </c>
    </row>
    <row r="20" spans="1:6" x14ac:dyDescent="0.3">
      <c r="A20" s="2" t="s">
        <v>60</v>
      </c>
      <c r="B20" s="2" t="s">
        <v>61</v>
      </c>
      <c r="C20" s="2" t="s">
        <v>52</v>
      </c>
      <c r="D20" s="2" t="s">
        <v>14</v>
      </c>
      <c r="E20" s="2" t="s">
        <v>15</v>
      </c>
      <c r="F20" s="3">
        <v>45152</v>
      </c>
    </row>
    <row r="21" spans="1:6" x14ac:dyDescent="0.3">
      <c r="A21" s="2" t="s">
        <v>62</v>
      </c>
      <c r="B21" s="2" t="s">
        <v>63</v>
      </c>
      <c r="C21" s="2" t="s">
        <v>57</v>
      </c>
      <c r="D21" s="2" t="s">
        <v>19</v>
      </c>
      <c r="E21" s="2" t="s">
        <v>20</v>
      </c>
      <c r="F21" s="3">
        <v>45724</v>
      </c>
    </row>
    <row r="22" spans="1:6" x14ac:dyDescent="0.3">
      <c r="A22" s="2" t="s">
        <v>64</v>
      </c>
      <c r="B22" s="2" t="s">
        <v>65</v>
      </c>
      <c r="C22" s="2" t="s">
        <v>23</v>
      </c>
      <c r="D22" s="2" t="s">
        <v>66</v>
      </c>
      <c r="E22" s="2" t="s">
        <v>10</v>
      </c>
      <c r="F22" s="3">
        <v>45210</v>
      </c>
    </row>
    <row r="23" spans="1:6" x14ac:dyDescent="0.3">
      <c r="A23" s="2" t="s">
        <v>67</v>
      </c>
      <c r="B23" s="2" t="s">
        <v>68</v>
      </c>
      <c r="C23" s="2" t="s">
        <v>69</v>
      </c>
      <c r="D23" s="2" t="s">
        <v>24</v>
      </c>
      <c r="E23" s="2" t="s">
        <v>15</v>
      </c>
      <c r="F23" s="3">
        <v>45805</v>
      </c>
    </row>
    <row r="24" spans="1:6" x14ac:dyDescent="0.3">
      <c r="A24" s="2" t="s">
        <v>70</v>
      </c>
      <c r="B24" s="2" t="s">
        <v>71</v>
      </c>
      <c r="C24" s="2" t="s">
        <v>29</v>
      </c>
      <c r="D24" s="2" t="s">
        <v>9</v>
      </c>
      <c r="E24" s="2" t="s">
        <v>20</v>
      </c>
      <c r="F24" s="3">
        <v>45886</v>
      </c>
    </row>
    <row r="25" spans="1:6" x14ac:dyDescent="0.3">
      <c r="A25" s="2" t="s">
        <v>72</v>
      </c>
      <c r="B25" s="2" t="s">
        <v>73</v>
      </c>
      <c r="C25" s="2" t="s">
        <v>52</v>
      </c>
      <c r="D25" s="2" t="s">
        <v>9</v>
      </c>
      <c r="E25" s="2" t="s">
        <v>20</v>
      </c>
      <c r="F25" s="3">
        <v>45379</v>
      </c>
    </row>
    <row r="26" spans="1:6" x14ac:dyDescent="0.3">
      <c r="A26" s="2" t="s">
        <v>74</v>
      </c>
      <c r="B26" s="2" t="s">
        <v>75</v>
      </c>
      <c r="C26" s="2" t="s">
        <v>76</v>
      </c>
      <c r="D26" s="2" t="s">
        <v>19</v>
      </c>
      <c r="E26" s="2" t="s">
        <v>15</v>
      </c>
      <c r="F26" s="3">
        <v>45946</v>
      </c>
    </row>
    <row r="27" spans="1:6" x14ac:dyDescent="0.3">
      <c r="A27" s="2" t="s">
        <v>77</v>
      </c>
      <c r="B27" s="2" t="s">
        <v>78</v>
      </c>
      <c r="C27" s="2" t="s">
        <v>69</v>
      </c>
      <c r="D27" s="2" t="s">
        <v>46</v>
      </c>
      <c r="E27" s="2" t="s">
        <v>20</v>
      </c>
      <c r="F27" s="3">
        <v>45742</v>
      </c>
    </row>
    <row r="28" spans="1:6" x14ac:dyDescent="0.3">
      <c r="A28" s="2" t="s">
        <v>79</v>
      </c>
      <c r="B28" s="2" t="s">
        <v>80</v>
      </c>
      <c r="C28" s="2" t="s">
        <v>29</v>
      </c>
      <c r="D28" s="2" t="s">
        <v>33</v>
      </c>
      <c r="E28" s="2" t="s">
        <v>15</v>
      </c>
      <c r="F28" s="3">
        <v>45585</v>
      </c>
    </row>
    <row r="29" spans="1:6" x14ac:dyDescent="0.3">
      <c r="A29" s="2" t="s">
        <v>81</v>
      </c>
      <c r="B29" s="2" t="s">
        <v>82</v>
      </c>
      <c r="C29" s="2" t="s">
        <v>32</v>
      </c>
      <c r="D29" s="2" t="s">
        <v>19</v>
      </c>
      <c r="E29" s="2" t="s">
        <v>20</v>
      </c>
      <c r="F29" s="3">
        <v>45473</v>
      </c>
    </row>
    <row r="30" spans="1:6" x14ac:dyDescent="0.3">
      <c r="A30" s="2" t="s">
        <v>83</v>
      </c>
      <c r="B30" s="2" t="s">
        <v>84</v>
      </c>
      <c r="C30" s="2" t="s">
        <v>8</v>
      </c>
      <c r="D30" s="2" t="s">
        <v>85</v>
      </c>
      <c r="E30" s="2" t="s">
        <v>20</v>
      </c>
      <c r="F30" s="3">
        <v>45999</v>
      </c>
    </row>
    <row r="31" spans="1:6" x14ac:dyDescent="0.3">
      <c r="A31" s="2" t="s">
        <v>86</v>
      </c>
      <c r="B31" s="2" t="s">
        <v>87</v>
      </c>
      <c r="C31" s="2" t="s">
        <v>13</v>
      </c>
      <c r="D31" s="2" t="s">
        <v>33</v>
      </c>
      <c r="E31" s="2" t="s">
        <v>20</v>
      </c>
      <c r="F31" s="3">
        <v>44943</v>
      </c>
    </row>
    <row r="32" spans="1:6" x14ac:dyDescent="0.3">
      <c r="A32" s="2" t="s">
        <v>88</v>
      </c>
      <c r="B32" s="2" t="s">
        <v>89</v>
      </c>
      <c r="C32" s="2" t="s">
        <v>76</v>
      </c>
      <c r="D32" s="2" t="s">
        <v>24</v>
      </c>
      <c r="E32" s="2" t="s">
        <v>15</v>
      </c>
      <c r="F32" s="3">
        <v>45084</v>
      </c>
    </row>
    <row r="33" spans="1:6" x14ac:dyDescent="0.3">
      <c r="A33" s="2" t="s">
        <v>90</v>
      </c>
      <c r="B33" s="2" t="s">
        <v>91</v>
      </c>
      <c r="C33" s="2" t="s">
        <v>32</v>
      </c>
      <c r="D33" s="2" t="s">
        <v>33</v>
      </c>
      <c r="E33" s="2" t="s">
        <v>10</v>
      </c>
      <c r="F33" s="3">
        <v>45403</v>
      </c>
    </row>
    <row r="34" spans="1:6" x14ac:dyDescent="0.3">
      <c r="A34" s="2" t="s">
        <v>92</v>
      </c>
      <c r="B34" s="2" t="s">
        <v>93</v>
      </c>
      <c r="C34" s="2" t="s">
        <v>23</v>
      </c>
      <c r="D34" s="2" t="s">
        <v>46</v>
      </c>
      <c r="E34" s="2" t="s">
        <v>15</v>
      </c>
      <c r="F34" s="3">
        <v>45996</v>
      </c>
    </row>
    <row r="35" spans="1:6" x14ac:dyDescent="0.3">
      <c r="A35" s="2" t="s">
        <v>94</v>
      </c>
      <c r="B35" s="2" t="s">
        <v>95</v>
      </c>
      <c r="C35" s="2" t="s">
        <v>32</v>
      </c>
      <c r="D35" s="2" t="s">
        <v>33</v>
      </c>
      <c r="E35" s="2" t="s">
        <v>15</v>
      </c>
      <c r="F35" s="3">
        <v>45444</v>
      </c>
    </row>
    <row r="36" spans="1:6" x14ac:dyDescent="0.3">
      <c r="A36" s="2" t="s">
        <v>96</v>
      </c>
      <c r="B36" s="2" t="s">
        <v>97</v>
      </c>
      <c r="C36" s="2" t="s">
        <v>8</v>
      </c>
      <c r="D36" s="2" t="s">
        <v>24</v>
      </c>
      <c r="E36" s="2" t="s">
        <v>15</v>
      </c>
      <c r="F36" s="3">
        <v>45025</v>
      </c>
    </row>
    <row r="37" spans="1:6" x14ac:dyDescent="0.3">
      <c r="A37" s="2" t="s">
        <v>98</v>
      </c>
      <c r="B37" s="2" t="s">
        <v>99</v>
      </c>
      <c r="C37" s="2" t="s">
        <v>23</v>
      </c>
      <c r="D37" s="2" t="s">
        <v>46</v>
      </c>
      <c r="E37" s="2" t="s">
        <v>20</v>
      </c>
      <c r="F37" s="3">
        <v>45987</v>
      </c>
    </row>
    <row r="38" spans="1:6" x14ac:dyDescent="0.3">
      <c r="A38" s="2" t="s">
        <v>100</v>
      </c>
      <c r="B38" s="2" t="s">
        <v>101</v>
      </c>
      <c r="C38" s="2" t="s">
        <v>76</v>
      </c>
      <c r="D38" s="2" t="s">
        <v>49</v>
      </c>
      <c r="E38" s="2" t="s">
        <v>20</v>
      </c>
      <c r="F38" s="3">
        <v>45206</v>
      </c>
    </row>
    <row r="39" spans="1:6" x14ac:dyDescent="0.3">
      <c r="A39" s="2" t="s">
        <v>102</v>
      </c>
      <c r="B39" s="2" t="s">
        <v>103</v>
      </c>
      <c r="C39" s="2" t="s">
        <v>8</v>
      </c>
      <c r="D39" s="2" t="s">
        <v>9</v>
      </c>
      <c r="E39" s="2" t="s">
        <v>15</v>
      </c>
      <c r="F39" s="3">
        <v>45423</v>
      </c>
    </row>
    <row r="40" spans="1:6" x14ac:dyDescent="0.3">
      <c r="A40" s="2" t="s">
        <v>104</v>
      </c>
      <c r="B40" s="2" t="s">
        <v>105</v>
      </c>
      <c r="C40" s="2" t="s">
        <v>57</v>
      </c>
      <c r="D40" s="2" t="s">
        <v>9</v>
      </c>
      <c r="E40" s="2" t="s">
        <v>20</v>
      </c>
      <c r="F40" s="3">
        <v>45228</v>
      </c>
    </row>
    <row r="41" spans="1:6" x14ac:dyDescent="0.3">
      <c r="A41" s="2" t="s">
        <v>106</v>
      </c>
      <c r="B41" s="2" t="s">
        <v>107</v>
      </c>
      <c r="C41" s="2" t="s">
        <v>13</v>
      </c>
      <c r="D41" s="2" t="s">
        <v>14</v>
      </c>
      <c r="E41" s="2" t="s">
        <v>15</v>
      </c>
      <c r="F41" s="3">
        <v>45107</v>
      </c>
    </row>
    <row r="42" spans="1:6" x14ac:dyDescent="0.3">
      <c r="A42" s="2" t="s">
        <v>108</v>
      </c>
      <c r="B42" s="2" t="s">
        <v>109</v>
      </c>
      <c r="C42" s="2" t="s">
        <v>76</v>
      </c>
      <c r="D42" s="2" t="s">
        <v>49</v>
      </c>
      <c r="E42" s="2" t="s">
        <v>20</v>
      </c>
      <c r="F42" s="3">
        <v>45533</v>
      </c>
    </row>
    <row r="43" spans="1:6" x14ac:dyDescent="0.3">
      <c r="A43" s="2" t="s">
        <v>110</v>
      </c>
      <c r="B43" s="2" t="s">
        <v>111</v>
      </c>
      <c r="C43" s="2" t="s">
        <v>57</v>
      </c>
      <c r="D43" s="2" t="s">
        <v>49</v>
      </c>
      <c r="E43" s="2" t="s">
        <v>15</v>
      </c>
      <c r="F43" s="3">
        <v>45626</v>
      </c>
    </row>
    <row r="44" spans="1:6" x14ac:dyDescent="0.3">
      <c r="A44" s="2" t="s">
        <v>112</v>
      </c>
      <c r="B44" s="2" t="s">
        <v>113</v>
      </c>
      <c r="C44" s="2" t="s">
        <v>29</v>
      </c>
      <c r="D44" s="2" t="s">
        <v>33</v>
      </c>
      <c r="E44" s="2" t="s">
        <v>20</v>
      </c>
      <c r="F44" s="3">
        <v>45919</v>
      </c>
    </row>
    <row r="45" spans="1:6" x14ac:dyDescent="0.3">
      <c r="A45" s="2" t="s">
        <v>114</v>
      </c>
      <c r="B45" s="2" t="s">
        <v>115</v>
      </c>
      <c r="C45" s="2" t="s">
        <v>76</v>
      </c>
      <c r="D45" s="2" t="s">
        <v>9</v>
      </c>
      <c r="E45" s="2" t="s">
        <v>15</v>
      </c>
      <c r="F45" s="3">
        <v>45117</v>
      </c>
    </row>
    <row r="46" spans="1:6" x14ac:dyDescent="0.3">
      <c r="A46" s="2" t="s">
        <v>116</v>
      </c>
      <c r="B46" s="2" t="s">
        <v>117</v>
      </c>
      <c r="C46" s="2" t="s">
        <v>29</v>
      </c>
      <c r="D46" s="2" t="s">
        <v>24</v>
      </c>
      <c r="E46" s="2" t="s">
        <v>10</v>
      </c>
      <c r="F46" s="3">
        <v>45179</v>
      </c>
    </row>
    <row r="47" spans="1:6" x14ac:dyDescent="0.3">
      <c r="A47" s="2" t="s">
        <v>118</v>
      </c>
      <c r="B47" s="2" t="s">
        <v>119</v>
      </c>
      <c r="C47" s="2" t="s">
        <v>23</v>
      </c>
      <c r="D47" s="2" t="s">
        <v>120</v>
      </c>
      <c r="E47" s="2" t="s">
        <v>15</v>
      </c>
      <c r="F47" s="3">
        <v>45907</v>
      </c>
    </row>
    <row r="48" spans="1:6" x14ac:dyDescent="0.3">
      <c r="A48" s="2" t="s">
        <v>121</v>
      </c>
      <c r="B48" s="2" t="s">
        <v>122</v>
      </c>
      <c r="C48" s="2" t="s">
        <v>57</v>
      </c>
      <c r="D48" s="2" t="s">
        <v>120</v>
      </c>
      <c r="E48" s="2" t="s">
        <v>15</v>
      </c>
      <c r="F48" s="3">
        <v>45854</v>
      </c>
    </row>
    <row r="49" spans="1:6" x14ac:dyDescent="0.3">
      <c r="A49" s="2" t="s">
        <v>123</v>
      </c>
      <c r="B49" s="2" t="s">
        <v>124</v>
      </c>
      <c r="C49" s="2" t="s">
        <v>13</v>
      </c>
      <c r="D49" s="2" t="s">
        <v>46</v>
      </c>
      <c r="E49" s="2" t="s">
        <v>15</v>
      </c>
      <c r="F49" s="3">
        <v>45054</v>
      </c>
    </row>
    <row r="50" spans="1:6" x14ac:dyDescent="0.3">
      <c r="A50" s="2" t="s">
        <v>125</v>
      </c>
      <c r="B50" s="2" t="s">
        <v>126</v>
      </c>
      <c r="C50" s="2" t="s">
        <v>8</v>
      </c>
      <c r="D50" s="2" t="s">
        <v>9</v>
      </c>
      <c r="E50" s="2" t="s">
        <v>10</v>
      </c>
      <c r="F50" s="3">
        <v>44944</v>
      </c>
    </row>
    <row r="51" spans="1:6" x14ac:dyDescent="0.3">
      <c r="A51" s="2" t="s">
        <v>127</v>
      </c>
      <c r="B51" s="2" t="s">
        <v>128</v>
      </c>
      <c r="C51" s="2" t="s">
        <v>18</v>
      </c>
      <c r="D51" s="2" t="s">
        <v>9</v>
      </c>
      <c r="E51" s="2" t="s">
        <v>10</v>
      </c>
      <c r="F51" s="3">
        <v>45492</v>
      </c>
    </row>
    <row r="52" spans="1:6" x14ac:dyDescent="0.3">
      <c r="A52" s="2" t="s">
        <v>129</v>
      </c>
      <c r="B52" s="2" t="s">
        <v>130</v>
      </c>
      <c r="C52" s="2" t="s">
        <v>32</v>
      </c>
      <c r="D52" s="2" t="s">
        <v>120</v>
      </c>
      <c r="E52" s="2" t="s">
        <v>15</v>
      </c>
      <c r="F52" s="3">
        <v>45496</v>
      </c>
    </row>
    <row r="53" spans="1:6" x14ac:dyDescent="0.3">
      <c r="A53" s="2" t="s">
        <v>131</v>
      </c>
      <c r="B53" s="2" t="s">
        <v>132</v>
      </c>
      <c r="C53" s="2" t="s">
        <v>69</v>
      </c>
      <c r="D53" s="2" t="s">
        <v>9</v>
      </c>
      <c r="E53" s="2" t="s">
        <v>20</v>
      </c>
      <c r="F53" s="3">
        <v>45612</v>
      </c>
    </row>
    <row r="54" spans="1:6" x14ac:dyDescent="0.3">
      <c r="A54" s="2" t="s">
        <v>133</v>
      </c>
      <c r="B54" s="2" t="s">
        <v>134</v>
      </c>
      <c r="C54" s="2" t="s">
        <v>13</v>
      </c>
      <c r="D54" s="2" t="s">
        <v>33</v>
      </c>
      <c r="E54" s="2" t="s">
        <v>10</v>
      </c>
      <c r="F54" s="3">
        <v>45552</v>
      </c>
    </row>
    <row r="55" spans="1:6" x14ac:dyDescent="0.3">
      <c r="A55" s="2" t="s">
        <v>135</v>
      </c>
      <c r="B55" s="2" t="s">
        <v>136</v>
      </c>
      <c r="C55" s="2" t="s">
        <v>57</v>
      </c>
      <c r="D55" s="2" t="s">
        <v>85</v>
      </c>
      <c r="E55" s="2" t="s">
        <v>20</v>
      </c>
      <c r="F55" s="3">
        <v>45780</v>
      </c>
    </row>
    <row r="56" spans="1:6" x14ac:dyDescent="0.3">
      <c r="A56" s="2" t="s">
        <v>137</v>
      </c>
      <c r="B56" s="2" t="s">
        <v>138</v>
      </c>
      <c r="C56" s="2" t="s">
        <v>18</v>
      </c>
      <c r="D56" s="2" t="s">
        <v>66</v>
      </c>
      <c r="E56" s="2" t="s">
        <v>20</v>
      </c>
      <c r="F56" s="3">
        <v>45888</v>
      </c>
    </row>
    <row r="57" spans="1:6" x14ac:dyDescent="0.3">
      <c r="A57" s="2" t="s">
        <v>139</v>
      </c>
      <c r="B57" s="2" t="s">
        <v>140</v>
      </c>
      <c r="C57" s="2" t="s">
        <v>13</v>
      </c>
      <c r="D57" s="2" t="s">
        <v>49</v>
      </c>
      <c r="E57" s="2" t="s">
        <v>15</v>
      </c>
      <c r="F57" s="3">
        <v>45081</v>
      </c>
    </row>
    <row r="58" spans="1:6" x14ac:dyDescent="0.3">
      <c r="A58" s="2" t="s">
        <v>141</v>
      </c>
      <c r="B58" s="2" t="s">
        <v>142</v>
      </c>
      <c r="C58" s="2" t="s">
        <v>57</v>
      </c>
      <c r="D58" s="2" t="s">
        <v>14</v>
      </c>
      <c r="E58" s="2" t="s">
        <v>15</v>
      </c>
      <c r="F58" s="3">
        <v>45416</v>
      </c>
    </row>
    <row r="59" spans="1:6" x14ac:dyDescent="0.3">
      <c r="A59" s="2" t="s">
        <v>143</v>
      </c>
      <c r="B59" s="2" t="s">
        <v>144</v>
      </c>
      <c r="C59" s="2" t="s">
        <v>52</v>
      </c>
      <c r="D59" s="2" t="s">
        <v>46</v>
      </c>
      <c r="E59" s="2" t="s">
        <v>10</v>
      </c>
      <c r="F59" s="3">
        <v>45711</v>
      </c>
    </row>
    <row r="60" spans="1:6" x14ac:dyDescent="0.3">
      <c r="A60" s="2" t="s">
        <v>145</v>
      </c>
      <c r="B60" s="2" t="s">
        <v>146</v>
      </c>
      <c r="C60" s="2" t="s">
        <v>52</v>
      </c>
      <c r="D60" s="2" t="s">
        <v>85</v>
      </c>
      <c r="E60" s="2" t="s">
        <v>10</v>
      </c>
      <c r="F60" s="3">
        <v>45172</v>
      </c>
    </row>
    <row r="61" spans="1:6" x14ac:dyDescent="0.3">
      <c r="A61" s="2" t="s">
        <v>147</v>
      </c>
      <c r="B61" s="2" t="s">
        <v>148</v>
      </c>
      <c r="C61" s="2" t="s">
        <v>29</v>
      </c>
      <c r="D61" s="2" t="s">
        <v>120</v>
      </c>
      <c r="E61" s="2" t="s">
        <v>20</v>
      </c>
      <c r="F61" s="3">
        <v>45989</v>
      </c>
    </row>
    <row r="62" spans="1:6" x14ac:dyDescent="0.3">
      <c r="A62" s="2" t="s">
        <v>149</v>
      </c>
      <c r="B62" s="2" t="s">
        <v>150</v>
      </c>
      <c r="C62" s="2" t="s">
        <v>13</v>
      </c>
      <c r="D62" s="2" t="s">
        <v>49</v>
      </c>
      <c r="E62" s="2" t="s">
        <v>15</v>
      </c>
      <c r="F62" s="3">
        <v>45685</v>
      </c>
    </row>
    <row r="63" spans="1:6" x14ac:dyDescent="0.3">
      <c r="A63" s="2" t="s">
        <v>151</v>
      </c>
      <c r="B63" s="2" t="s">
        <v>152</v>
      </c>
      <c r="C63" s="2" t="s">
        <v>52</v>
      </c>
      <c r="D63" s="2" t="s">
        <v>9</v>
      </c>
      <c r="E63" s="2" t="s">
        <v>15</v>
      </c>
      <c r="F63" s="3">
        <v>45464</v>
      </c>
    </row>
    <row r="64" spans="1:6" x14ac:dyDescent="0.3">
      <c r="A64" s="2" t="s">
        <v>153</v>
      </c>
      <c r="B64" s="2" t="s">
        <v>154</v>
      </c>
      <c r="C64" s="2" t="s">
        <v>57</v>
      </c>
      <c r="D64" s="2" t="s">
        <v>14</v>
      </c>
      <c r="E64" s="2" t="s">
        <v>20</v>
      </c>
      <c r="F64" s="3">
        <v>45847</v>
      </c>
    </row>
    <row r="65" spans="1:6" x14ac:dyDescent="0.3">
      <c r="A65" s="2" t="s">
        <v>155</v>
      </c>
      <c r="B65" s="2" t="s">
        <v>156</v>
      </c>
      <c r="C65" s="2" t="s">
        <v>29</v>
      </c>
      <c r="D65" s="2" t="s">
        <v>9</v>
      </c>
      <c r="E65" s="2" t="s">
        <v>10</v>
      </c>
      <c r="F65" s="3">
        <v>45334</v>
      </c>
    </row>
    <row r="66" spans="1:6" x14ac:dyDescent="0.3">
      <c r="A66" s="2" t="s">
        <v>157</v>
      </c>
      <c r="B66" s="2" t="s">
        <v>158</v>
      </c>
      <c r="C66" s="2" t="s">
        <v>57</v>
      </c>
      <c r="D66" s="2" t="s">
        <v>24</v>
      </c>
      <c r="E66" s="2" t="s">
        <v>10</v>
      </c>
      <c r="F66" s="3">
        <v>45451</v>
      </c>
    </row>
    <row r="67" spans="1:6" x14ac:dyDescent="0.3">
      <c r="A67" s="2" t="s">
        <v>159</v>
      </c>
      <c r="B67" s="2" t="s">
        <v>160</v>
      </c>
      <c r="C67" s="2" t="s">
        <v>29</v>
      </c>
      <c r="D67" s="2" t="s">
        <v>24</v>
      </c>
      <c r="E67" s="2" t="s">
        <v>20</v>
      </c>
      <c r="F67" s="3">
        <v>45754</v>
      </c>
    </row>
    <row r="68" spans="1:6" x14ac:dyDescent="0.3">
      <c r="A68" s="2" t="s">
        <v>161</v>
      </c>
      <c r="B68" s="2" t="s">
        <v>162</v>
      </c>
      <c r="C68" s="2" t="s">
        <v>13</v>
      </c>
      <c r="D68" s="2" t="s">
        <v>14</v>
      </c>
      <c r="E68" s="2" t="s">
        <v>20</v>
      </c>
      <c r="F68" s="3">
        <v>45829</v>
      </c>
    </row>
    <row r="69" spans="1:6" x14ac:dyDescent="0.3">
      <c r="A69" s="2" t="s">
        <v>163</v>
      </c>
      <c r="B69" s="2" t="s">
        <v>164</v>
      </c>
      <c r="C69" s="2" t="s">
        <v>18</v>
      </c>
      <c r="D69" s="2" t="s">
        <v>14</v>
      </c>
      <c r="E69" s="2" t="s">
        <v>15</v>
      </c>
      <c r="F69" s="3">
        <v>44962</v>
      </c>
    </row>
    <row r="70" spans="1:6" x14ac:dyDescent="0.3">
      <c r="A70" s="2" t="s">
        <v>165</v>
      </c>
      <c r="B70" s="2" t="s">
        <v>166</v>
      </c>
      <c r="C70" s="2" t="s">
        <v>8</v>
      </c>
      <c r="D70" s="2" t="s">
        <v>120</v>
      </c>
      <c r="E70" s="2" t="s">
        <v>15</v>
      </c>
      <c r="F70" s="3">
        <v>45611</v>
      </c>
    </row>
    <row r="71" spans="1:6" x14ac:dyDescent="0.3">
      <c r="A71" s="2" t="s">
        <v>167</v>
      </c>
      <c r="B71" s="2" t="s">
        <v>168</v>
      </c>
      <c r="C71" s="2" t="s">
        <v>76</v>
      </c>
      <c r="D71" s="2" t="s">
        <v>14</v>
      </c>
      <c r="E71" s="2" t="s">
        <v>10</v>
      </c>
      <c r="F71" s="3">
        <v>44946</v>
      </c>
    </row>
    <row r="72" spans="1:6" x14ac:dyDescent="0.3">
      <c r="A72" s="2" t="s">
        <v>169</v>
      </c>
      <c r="B72" s="2" t="s">
        <v>170</v>
      </c>
      <c r="C72" s="2" t="s">
        <v>18</v>
      </c>
      <c r="D72" s="2" t="s">
        <v>33</v>
      </c>
      <c r="E72" s="2" t="s">
        <v>20</v>
      </c>
      <c r="F72" s="3">
        <v>45247</v>
      </c>
    </row>
    <row r="73" spans="1:6" x14ac:dyDescent="0.3">
      <c r="A73" s="2" t="s">
        <v>171</v>
      </c>
      <c r="B73" s="2" t="s">
        <v>172</v>
      </c>
      <c r="C73" s="2" t="s">
        <v>23</v>
      </c>
      <c r="D73" s="2" t="s">
        <v>9</v>
      </c>
      <c r="E73" s="2" t="s">
        <v>15</v>
      </c>
      <c r="F73" s="3">
        <v>45438</v>
      </c>
    </row>
    <row r="74" spans="1:6" x14ac:dyDescent="0.3">
      <c r="A74" s="2" t="s">
        <v>173</v>
      </c>
      <c r="B74" s="2" t="s">
        <v>174</v>
      </c>
      <c r="C74" s="2" t="s">
        <v>57</v>
      </c>
      <c r="D74" s="2" t="s">
        <v>85</v>
      </c>
      <c r="E74" s="2" t="s">
        <v>15</v>
      </c>
      <c r="F74" s="3">
        <v>45326</v>
      </c>
    </row>
    <row r="75" spans="1:6" x14ac:dyDescent="0.3">
      <c r="A75" s="2" t="s">
        <v>175</v>
      </c>
      <c r="B75" s="2" t="s">
        <v>176</v>
      </c>
      <c r="C75" s="2" t="s">
        <v>23</v>
      </c>
      <c r="D75" s="2" t="s">
        <v>19</v>
      </c>
      <c r="E75" s="2" t="s">
        <v>20</v>
      </c>
      <c r="F75" s="3">
        <v>45580</v>
      </c>
    </row>
    <row r="76" spans="1:6" x14ac:dyDescent="0.3">
      <c r="A76" s="2" t="s">
        <v>177</v>
      </c>
      <c r="B76" s="2" t="s">
        <v>178</v>
      </c>
      <c r="C76" s="2" t="s">
        <v>18</v>
      </c>
      <c r="D76" s="2" t="s">
        <v>14</v>
      </c>
      <c r="E76" s="2" t="s">
        <v>15</v>
      </c>
      <c r="F76" s="3">
        <v>45898</v>
      </c>
    </row>
    <row r="77" spans="1:6" x14ac:dyDescent="0.3">
      <c r="A77" s="2" t="s">
        <v>179</v>
      </c>
      <c r="B77" s="2" t="s">
        <v>180</v>
      </c>
      <c r="C77" s="2" t="s">
        <v>29</v>
      </c>
      <c r="D77" s="2" t="s">
        <v>46</v>
      </c>
      <c r="E77" s="2" t="s">
        <v>15</v>
      </c>
      <c r="F77" s="3">
        <v>45397</v>
      </c>
    </row>
    <row r="78" spans="1:6" x14ac:dyDescent="0.3">
      <c r="A78" s="2" t="s">
        <v>181</v>
      </c>
      <c r="B78" s="2" t="s">
        <v>182</v>
      </c>
      <c r="C78" s="2" t="s">
        <v>76</v>
      </c>
      <c r="D78" s="2" t="s">
        <v>24</v>
      </c>
      <c r="E78" s="2" t="s">
        <v>20</v>
      </c>
      <c r="F78" s="3">
        <v>45760</v>
      </c>
    </row>
    <row r="79" spans="1:6" x14ac:dyDescent="0.3">
      <c r="A79" s="2" t="s">
        <v>183</v>
      </c>
      <c r="B79" s="2" t="s">
        <v>184</v>
      </c>
      <c r="C79" s="2" t="s">
        <v>76</v>
      </c>
      <c r="D79" s="2" t="s">
        <v>33</v>
      </c>
      <c r="E79" s="2" t="s">
        <v>20</v>
      </c>
      <c r="F79" s="3">
        <v>45653</v>
      </c>
    </row>
    <row r="80" spans="1:6" x14ac:dyDescent="0.3">
      <c r="A80" s="2" t="s">
        <v>185</v>
      </c>
      <c r="B80" s="2" t="s">
        <v>186</v>
      </c>
      <c r="C80" s="2" t="s">
        <v>69</v>
      </c>
      <c r="D80" s="2" t="s">
        <v>49</v>
      </c>
      <c r="E80" s="2" t="s">
        <v>20</v>
      </c>
      <c r="F80" s="3">
        <v>45780</v>
      </c>
    </row>
    <row r="81" spans="1:11" x14ac:dyDescent="0.3">
      <c r="A81" s="2" t="s">
        <v>187</v>
      </c>
      <c r="B81" s="2" t="s">
        <v>188</v>
      </c>
      <c r="C81" s="2" t="s">
        <v>76</v>
      </c>
      <c r="D81" s="2" t="s">
        <v>19</v>
      </c>
      <c r="E81" s="2" t="s">
        <v>15</v>
      </c>
      <c r="F81" s="3">
        <v>44977</v>
      </c>
    </row>
    <row r="82" spans="1:11" x14ac:dyDescent="0.3">
      <c r="A82" s="2"/>
      <c r="B82" s="2"/>
      <c r="C82" s="2"/>
      <c r="D82" s="2"/>
      <c r="E82" s="2"/>
      <c r="F82" s="12"/>
    </row>
    <row r="83" spans="1:11" x14ac:dyDescent="0.3">
      <c r="A83" s="2"/>
      <c r="B83" s="2"/>
      <c r="C83" s="2"/>
      <c r="D83" s="2"/>
      <c r="E83" s="2"/>
      <c r="F83" s="12"/>
    </row>
    <row r="84" spans="1:11" x14ac:dyDescent="0.3">
      <c r="A84" s="2"/>
      <c r="B84" s="2"/>
      <c r="C84" s="2"/>
      <c r="D84" s="2"/>
      <c r="E84" s="2"/>
      <c r="F84" s="12"/>
    </row>
    <row r="85" spans="1:11" x14ac:dyDescent="0.3">
      <c r="A85" s="2"/>
      <c r="B85" s="2"/>
      <c r="C85" s="2"/>
      <c r="D85" s="2"/>
      <c r="E85" s="2"/>
      <c r="F85" s="12"/>
    </row>
    <row r="86" spans="1:11" x14ac:dyDescent="0.3">
      <c r="A86" s="2"/>
      <c r="B86" s="2"/>
      <c r="C86" s="2"/>
      <c r="D86" s="2"/>
      <c r="E86" s="2"/>
      <c r="F86" s="12"/>
    </row>
    <row r="87" spans="1:11" x14ac:dyDescent="0.3">
      <c r="A87" s="2"/>
      <c r="B87" s="2"/>
      <c r="C87" s="2"/>
      <c r="D87" s="2"/>
      <c r="E87" s="2"/>
      <c r="F87" s="12"/>
    </row>
    <row r="88" spans="1:11" x14ac:dyDescent="0.3">
      <c r="A88" s="2"/>
      <c r="B88" s="2"/>
      <c r="C88" s="2"/>
      <c r="D88" s="2"/>
      <c r="E88" s="2"/>
      <c r="F88" s="12"/>
    </row>
    <row r="89" spans="1:11" x14ac:dyDescent="0.3">
      <c r="A89" s="2"/>
      <c r="B89" s="2"/>
      <c r="C89" s="2"/>
      <c r="D89" s="2"/>
      <c r="E89" s="2"/>
      <c r="F89" s="12"/>
      <c r="J89" s="2"/>
      <c r="K89" s="2"/>
    </row>
    <row r="90" spans="1:11" x14ac:dyDescent="0.3">
      <c r="A90" s="2"/>
      <c r="B90" s="2"/>
      <c r="C90" s="2"/>
      <c r="D90" s="2"/>
      <c r="E90" s="2"/>
      <c r="F90" s="12"/>
      <c r="J90" s="2"/>
      <c r="K90" s="2"/>
    </row>
    <row r="91" spans="1:11" x14ac:dyDescent="0.3">
      <c r="A91" s="2"/>
      <c r="B91" s="2"/>
      <c r="C91" s="2"/>
      <c r="D91" s="2"/>
      <c r="E91" s="2"/>
      <c r="F91" s="12"/>
    </row>
    <row r="92" spans="1:11" x14ac:dyDescent="0.3">
      <c r="A92" s="2"/>
      <c r="B92" s="2"/>
      <c r="C92" s="2"/>
      <c r="D92" s="2"/>
      <c r="E92" s="2"/>
      <c r="F92" s="12"/>
    </row>
    <row r="93" spans="1:11" x14ac:dyDescent="0.3">
      <c r="A93" s="2"/>
      <c r="B93" s="2"/>
      <c r="C93" s="2"/>
      <c r="D93" s="2"/>
      <c r="E93" s="2"/>
      <c r="F93" s="12"/>
    </row>
    <row r="94" spans="1:11" x14ac:dyDescent="0.3">
      <c r="A94" s="2"/>
      <c r="B94" s="2"/>
      <c r="C94" s="2"/>
      <c r="D94" s="2"/>
      <c r="E94" s="2"/>
      <c r="F94" s="12"/>
    </row>
    <row r="95" spans="1:11" x14ac:dyDescent="0.3">
      <c r="A95" s="2"/>
      <c r="B95" s="2"/>
      <c r="C95" s="2"/>
      <c r="D95" s="2"/>
      <c r="E95" s="2"/>
      <c r="F95" s="12"/>
    </row>
    <row r="96" spans="1:11" x14ac:dyDescent="0.3">
      <c r="A96" s="2"/>
      <c r="B96" s="2"/>
      <c r="C96" s="2"/>
      <c r="D96" s="2"/>
      <c r="E96" s="2"/>
      <c r="F96" s="12"/>
    </row>
    <row r="97" spans="1:6" x14ac:dyDescent="0.3">
      <c r="A97" s="2"/>
      <c r="B97" s="2"/>
      <c r="C97" s="2"/>
      <c r="D97" s="2"/>
      <c r="E97" s="2"/>
      <c r="F97" s="12"/>
    </row>
    <row r="98" spans="1:6" x14ac:dyDescent="0.3">
      <c r="A98" s="2"/>
      <c r="B98" s="2"/>
      <c r="C98" s="2"/>
      <c r="D98" s="2"/>
      <c r="E98" s="2"/>
      <c r="F98" s="12"/>
    </row>
    <row r="99" spans="1:6" x14ac:dyDescent="0.3">
      <c r="A99" s="2"/>
      <c r="B99" s="2"/>
      <c r="C99" s="2"/>
      <c r="D99" s="2"/>
      <c r="E99" s="2"/>
      <c r="F99" s="12"/>
    </row>
    <row r="100" spans="1:6" x14ac:dyDescent="0.3">
      <c r="A100" s="2"/>
      <c r="B100" s="2"/>
      <c r="C100" s="2"/>
      <c r="D100" s="2"/>
      <c r="E100" s="2"/>
      <c r="F100" s="12"/>
    </row>
    <row r="101" spans="1:6" x14ac:dyDescent="0.3">
      <c r="A101" s="2"/>
      <c r="B101" s="2"/>
      <c r="C101" s="2"/>
      <c r="D101" s="2"/>
      <c r="E101" s="2"/>
      <c r="F101" s="12"/>
    </row>
    <row r="102" spans="1:6" x14ac:dyDescent="0.3">
      <c r="A102" s="2"/>
      <c r="B102" s="2"/>
      <c r="C102" s="2"/>
      <c r="D102" s="2"/>
      <c r="E102" s="2"/>
      <c r="F102" s="12"/>
    </row>
    <row r="103" spans="1:6" x14ac:dyDescent="0.3">
      <c r="A103" s="2"/>
      <c r="B103" s="2"/>
      <c r="C103" s="2"/>
      <c r="D103" s="2"/>
      <c r="E103" s="2"/>
      <c r="F103" s="12"/>
    </row>
    <row r="104" spans="1:6" x14ac:dyDescent="0.3">
      <c r="A104" s="2"/>
      <c r="B104" s="2"/>
      <c r="C104" s="2"/>
      <c r="D104" s="2"/>
      <c r="E104" s="2"/>
      <c r="F104" s="12"/>
    </row>
    <row r="105" spans="1:6" x14ac:dyDescent="0.3">
      <c r="A105" s="2"/>
      <c r="B105" s="2"/>
      <c r="C105" s="2"/>
      <c r="D105" s="2"/>
      <c r="E105" s="2"/>
      <c r="F105" s="12"/>
    </row>
    <row r="106" spans="1:6" x14ac:dyDescent="0.3">
      <c r="A106" s="2"/>
      <c r="B106" s="2"/>
      <c r="C106" s="2"/>
      <c r="D106" s="2"/>
      <c r="E106" s="2"/>
      <c r="F106" s="12"/>
    </row>
    <row r="107" spans="1:6" x14ac:dyDescent="0.3">
      <c r="A107" s="2"/>
      <c r="B107" s="2"/>
      <c r="C107" s="2"/>
      <c r="D107" s="2"/>
      <c r="E107" s="2"/>
      <c r="F107" s="12"/>
    </row>
    <row r="108" spans="1:6" x14ac:dyDescent="0.3">
      <c r="A108" s="2"/>
      <c r="B108" s="2"/>
      <c r="C108" s="2"/>
      <c r="D108" s="2"/>
      <c r="E108" s="2"/>
      <c r="F108" s="12"/>
    </row>
    <row r="109" spans="1:6" x14ac:dyDescent="0.3">
      <c r="A109" s="2"/>
      <c r="B109" s="2"/>
      <c r="C109" s="2"/>
      <c r="D109" s="2"/>
      <c r="E109" s="2"/>
      <c r="F109" s="12"/>
    </row>
    <row r="110" spans="1:6" x14ac:dyDescent="0.3">
      <c r="A110" s="2"/>
      <c r="B110" s="2"/>
      <c r="C110" s="2"/>
      <c r="D110" s="2"/>
      <c r="E110" s="2"/>
      <c r="F110" s="12"/>
    </row>
    <row r="111" spans="1:6" x14ac:dyDescent="0.3">
      <c r="A111" s="2"/>
      <c r="B111" s="2"/>
      <c r="C111" s="2"/>
      <c r="D111" s="2"/>
      <c r="E111" s="2"/>
      <c r="F111" s="12"/>
    </row>
    <row r="112" spans="1:6" x14ac:dyDescent="0.3">
      <c r="A112" s="2"/>
      <c r="B112" s="2"/>
      <c r="C112" s="2"/>
      <c r="D112" s="2"/>
      <c r="E112" s="2"/>
      <c r="F112" s="12"/>
    </row>
    <row r="113" spans="1:6" x14ac:dyDescent="0.3">
      <c r="A113" s="2"/>
      <c r="B113" s="2"/>
      <c r="C113" s="2"/>
      <c r="D113" s="2"/>
      <c r="E113" s="2"/>
      <c r="F113" s="12"/>
    </row>
    <row r="114" spans="1:6" x14ac:dyDescent="0.3">
      <c r="A114" s="2"/>
      <c r="B114" s="2"/>
      <c r="C114" s="2"/>
      <c r="D114" s="2"/>
      <c r="E114" s="2"/>
      <c r="F114" s="12"/>
    </row>
    <row r="115" spans="1:6" x14ac:dyDescent="0.3">
      <c r="A115" s="2"/>
      <c r="B115" s="2"/>
      <c r="C115" s="2"/>
      <c r="D115" s="2"/>
      <c r="E115" s="2"/>
      <c r="F115" s="12"/>
    </row>
    <row r="116" spans="1:6" x14ac:dyDescent="0.3">
      <c r="A116" s="2"/>
      <c r="B116" s="2"/>
      <c r="C116" s="2"/>
      <c r="D116" s="2"/>
      <c r="E116" s="2"/>
      <c r="F116" s="12"/>
    </row>
    <row r="117" spans="1:6" x14ac:dyDescent="0.3">
      <c r="A117" s="2"/>
      <c r="B117" s="2"/>
      <c r="C117" s="2"/>
      <c r="D117" s="2"/>
      <c r="E117" s="2"/>
      <c r="F117" s="12"/>
    </row>
    <row r="118" spans="1:6" x14ac:dyDescent="0.3">
      <c r="A118" s="2"/>
      <c r="B118" s="2"/>
      <c r="C118" s="2"/>
      <c r="D118" s="2"/>
      <c r="E118" s="2"/>
      <c r="F118" s="12"/>
    </row>
    <row r="119" spans="1:6" x14ac:dyDescent="0.3">
      <c r="A119" s="2"/>
      <c r="B119" s="2"/>
      <c r="C119" s="2"/>
      <c r="D119" s="2"/>
      <c r="E119" s="2"/>
      <c r="F119" s="12"/>
    </row>
    <row r="120" spans="1:6" x14ac:dyDescent="0.3">
      <c r="A120" s="2"/>
      <c r="B120" s="2"/>
      <c r="C120" s="2"/>
      <c r="D120" s="2"/>
      <c r="E120" s="2"/>
      <c r="F120" s="12"/>
    </row>
    <row r="121" spans="1:6" x14ac:dyDescent="0.3">
      <c r="A121" s="2"/>
      <c r="B121" s="2"/>
      <c r="C121" s="2"/>
      <c r="D121" s="2"/>
      <c r="E121" s="2"/>
      <c r="F121" s="12"/>
    </row>
    <row r="122" spans="1:6" x14ac:dyDescent="0.3">
      <c r="A122" s="2"/>
      <c r="B122" s="2"/>
      <c r="C122" s="2"/>
      <c r="D122" s="2"/>
      <c r="E122" s="2"/>
      <c r="F122" s="12"/>
    </row>
    <row r="123" spans="1:6" x14ac:dyDescent="0.3">
      <c r="A123" s="2"/>
      <c r="B123" s="2"/>
      <c r="C123" s="2"/>
      <c r="D123" s="2"/>
      <c r="E123" s="2"/>
      <c r="F123" s="12"/>
    </row>
    <row r="124" spans="1:6" x14ac:dyDescent="0.3">
      <c r="A124" s="2"/>
      <c r="B124" s="2"/>
      <c r="C124" s="2"/>
      <c r="D124" s="2"/>
      <c r="E124" s="2"/>
      <c r="F124" s="12"/>
    </row>
    <row r="125" spans="1:6" x14ac:dyDescent="0.3">
      <c r="A125" s="2"/>
      <c r="B125" s="2"/>
      <c r="C125" s="2"/>
      <c r="D125" s="2"/>
      <c r="E125" s="2"/>
      <c r="F125" s="12"/>
    </row>
    <row r="126" spans="1:6" x14ac:dyDescent="0.3">
      <c r="A126" s="2"/>
      <c r="B126" s="2"/>
      <c r="C126" s="2"/>
      <c r="D126" s="2"/>
      <c r="E126" s="2"/>
      <c r="F126" s="12"/>
    </row>
    <row r="127" spans="1:6" x14ac:dyDescent="0.3">
      <c r="A127" s="2"/>
      <c r="B127" s="2"/>
      <c r="C127" s="2"/>
      <c r="D127" s="2"/>
      <c r="E127" s="2"/>
      <c r="F127" s="12"/>
    </row>
    <row r="128" spans="1:6" x14ac:dyDescent="0.3">
      <c r="A128" s="2"/>
      <c r="B128" s="2"/>
      <c r="C128" s="2"/>
      <c r="D128" s="2"/>
      <c r="E128" s="2"/>
      <c r="F128" s="12"/>
    </row>
    <row r="129" spans="1:6" x14ac:dyDescent="0.3">
      <c r="A129" s="2"/>
      <c r="B129" s="2"/>
      <c r="C129" s="2"/>
      <c r="D129" s="2"/>
      <c r="E129" s="2"/>
      <c r="F129" s="12"/>
    </row>
    <row r="130" spans="1:6" x14ac:dyDescent="0.3">
      <c r="A130" s="2"/>
      <c r="B130" s="2"/>
      <c r="C130" s="2"/>
      <c r="D130" s="2"/>
      <c r="E130" s="2"/>
      <c r="F130" s="12"/>
    </row>
    <row r="131" spans="1:6" x14ac:dyDescent="0.3">
      <c r="A131" s="2"/>
      <c r="B131" s="2"/>
      <c r="C131" s="2"/>
      <c r="D131" s="2"/>
      <c r="E131" s="2"/>
      <c r="F131" s="12"/>
    </row>
    <row r="132" spans="1:6" x14ac:dyDescent="0.3">
      <c r="A132" s="2"/>
      <c r="B132" s="2"/>
      <c r="C132" s="2"/>
      <c r="D132" s="2"/>
      <c r="E132" s="2"/>
      <c r="F132" s="12"/>
    </row>
    <row r="133" spans="1:6" x14ac:dyDescent="0.3">
      <c r="A133" s="2"/>
      <c r="B133" s="2"/>
      <c r="C133" s="2"/>
      <c r="D133" s="2"/>
      <c r="E133" s="2"/>
      <c r="F133" s="12"/>
    </row>
    <row r="134" spans="1:6" x14ac:dyDescent="0.3">
      <c r="A134" s="2"/>
      <c r="B134" s="2"/>
      <c r="C134" s="2"/>
      <c r="D134" s="2"/>
      <c r="E134" s="2"/>
      <c r="F134" s="12"/>
    </row>
    <row r="135" spans="1:6" x14ac:dyDescent="0.3">
      <c r="A135" s="2"/>
      <c r="B135" s="2"/>
      <c r="C135" s="2"/>
      <c r="D135" s="2"/>
      <c r="E135" s="2"/>
      <c r="F135" s="12"/>
    </row>
    <row r="136" spans="1:6" x14ac:dyDescent="0.3">
      <c r="A136" s="2"/>
      <c r="B136" s="2"/>
      <c r="C136" s="2"/>
      <c r="D136" s="2"/>
      <c r="E136" s="2"/>
      <c r="F136" s="12"/>
    </row>
    <row r="137" spans="1:6" x14ac:dyDescent="0.3">
      <c r="A137" s="2"/>
      <c r="B137" s="2"/>
      <c r="C137" s="2"/>
      <c r="D137" s="2"/>
      <c r="E137" s="2"/>
      <c r="F137" s="12"/>
    </row>
    <row r="138" spans="1:6" x14ac:dyDescent="0.3">
      <c r="A138" s="2"/>
      <c r="B138" s="2"/>
      <c r="C138" s="2"/>
      <c r="D138" s="2"/>
      <c r="E138" s="2"/>
      <c r="F138" s="12"/>
    </row>
    <row r="139" spans="1:6" x14ac:dyDescent="0.3">
      <c r="A139" s="2"/>
      <c r="B139" s="2"/>
      <c r="C139" s="2"/>
      <c r="D139" s="2"/>
      <c r="E139" s="2"/>
      <c r="F139" s="12"/>
    </row>
    <row r="140" spans="1:6" x14ac:dyDescent="0.3">
      <c r="A140" s="2"/>
      <c r="B140" s="2"/>
      <c r="C140" s="2"/>
      <c r="D140" s="2"/>
      <c r="E140" s="2"/>
      <c r="F140" s="12"/>
    </row>
    <row r="141" spans="1:6" x14ac:dyDescent="0.3">
      <c r="A141" s="2"/>
      <c r="B141" s="2"/>
      <c r="C141" s="2"/>
      <c r="D141" s="2"/>
      <c r="E141" s="2"/>
      <c r="F141" s="12"/>
    </row>
    <row r="142" spans="1:6" x14ac:dyDescent="0.3">
      <c r="A142" s="2"/>
      <c r="B142" s="2"/>
      <c r="C142" s="2"/>
      <c r="D142" s="2"/>
      <c r="E142" s="2"/>
      <c r="F142" s="12"/>
    </row>
    <row r="143" spans="1:6" x14ac:dyDescent="0.3">
      <c r="A143" s="2"/>
      <c r="B143" s="2"/>
      <c r="C143" s="2"/>
      <c r="D143" s="2"/>
      <c r="E143" s="2"/>
      <c r="F143" s="12"/>
    </row>
    <row r="144" spans="1:6" x14ac:dyDescent="0.3">
      <c r="A144" s="2"/>
      <c r="B144" s="2"/>
      <c r="C144" s="2"/>
      <c r="D144" s="2"/>
      <c r="E144" s="2"/>
      <c r="F144" s="12"/>
    </row>
    <row r="145" spans="1:6" x14ac:dyDescent="0.3">
      <c r="A145" s="2"/>
      <c r="B145" s="2"/>
      <c r="C145" s="2"/>
      <c r="D145" s="2"/>
      <c r="E145" s="2"/>
      <c r="F145" s="12"/>
    </row>
    <row r="146" spans="1:6" x14ac:dyDescent="0.3">
      <c r="A146" s="2"/>
      <c r="B146" s="2"/>
      <c r="C146" s="2"/>
      <c r="D146" s="2"/>
      <c r="E146" s="2"/>
      <c r="F146" s="12"/>
    </row>
    <row r="147" spans="1:6" x14ac:dyDescent="0.3">
      <c r="A147" s="2"/>
      <c r="B147" s="2"/>
      <c r="C147" s="2"/>
      <c r="D147" s="2"/>
      <c r="E147" s="2"/>
      <c r="F147" s="12"/>
    </row>
    <row r="148" spans="1:6" x14ac:dyDescent="0.3">
      <c r="A148" s="2"/>
      <c r="B148" s="2"/>
      <c r="C148" s="2"/>
      <c r="D148" s="2"/>
      <c r="E148" s="2"/>
      <c r="F148" s="12"/>
    </row>
    <row r="149" spans="1:6" x14ac:dyDescent="0.3">
      <c r="A149" s="2"/>
      <c r="B149" s="2"/>
      <c r="C149" s="2"/>
      <c r="D149" s="2"/>
      <c r="E149" s="2"/>
      <c r="F149" s="12"/>
    </row>
    <row r="150" spans="1:6" x14ac:dyDescent="0.3">
      <c r="A150" s="2"/>
      <c r="B150" s="2"/>
      <c r="C150" s="2"/>
      <c r="D150" s="2"/>
      <c r="E150" s="2"/>
      <c r="F150" s="12"/>
    </row>
    <row r="151" spans="1:6" x14ac:dyDescent="0.3">
      <c r="A151" s="2"/>
      <c r="B151" s="2"/>
      <c r="C151" s="2"/>
      <c r="D151" s="2"/>
      <c r="E151" s="2"/>
      <c r="F151" s="12"/>
    </row>
    <row r="152" spans="1:6" x14ac:dyDescent="0.3">
      <c r="A152" s="2"/>
      <c r="B152" s="2"/>
      <c r="C152" s="2"/>
      <c r="D152" s="2"/>
      <c r="E152" s="2"/>
      <c r="F152" s="12"/>
    </row>
    <row r="153" spans="1:6" x14ac:dyDescent="0.3">
      <c r="A153" s="2"/>
      <c r="B153" s="2"/>
      <c r="C153" s="2"/>
      <c r="D153" s="2"/>
      <c r="E153" s="2"/>
      <c r="F153" s="12"/>
    </row>
    <row r="154" spans="1:6" x14ac:dyDescent="0.3">
      <c r="A154" s="2"/>
      <c r="B154" s="2"/>
      <c r="C154" s="2"/>
      <c r="D154" s="2"/>
      <c r="E154" s="2"/>
      <c r="F154" s="12"/>
    </row>
    <row r="155" spans="1:6" x14ac:dyDescent="0.3">
      <c r="A155" s="2"/>
      <c r="B155" s="2"/>
      <c r="C155" s="2"/>
      <c r="D155" s="2"/>
      <c r="E155" s="2"/>
      <c r="F155" s="12"/>
    </row>
    <row r="156" spans="1:6" x14ac:dyDescent="0.3">
      <c r="A156" s="2"/>
      <c r="B156" s="2"/>
      <c r="C156" s="2"/>
      <c r="D156" s="2"/>
      <c r="E156" s="2"/>
      <c r="F156" s="12"/>
    </row>
    <row r="157" spans="1:6" x14ac:dyDescent="0.3">
      <c r="A157" s="2"/>
      <c r="B157" s="2"/>
      <c r="C157" s="2"/>
      <c r="D157" s="2"/>
      <c r="E157" s="2"/>
      <c r="F157" s="12"/>
    </row>
    <row r="158" spans="1:6" x14ac:dyDescent="0.3">
      <c r="A158" s="2"/>
      <c r="B158" s="2"/>
      <c r="C158" s="2"/>
      <c r="D158" s="2"/>
      <c r="E158" s="2"/>
      <c r="F158" s="12"/>
    </row>
    <row r="159" spans="1:6" x14ac:dyDescent="0.3">
      <c r="A159" s="2"/>
      <c r="B159" s="2"/>
      <c r="C159" s="2"/>
      <c r="D159" s="2"/>
      <c r="E159" s="2"/>
      <c r="F159" s="12"/>
    </row>
    <row r="160" spans="1:6" x14ac:dyDescent="0.3">
      <c r="A160" s="2"/>
      <c r="B160" s="2"/>
      <c r="C160" s="2"/>
      <c r="D160" s="2"/>
      <c r="E160" s="2"/>
      <c r="F160" s="12"/>
    </row>
    <row r="161" spans="1:6" x14ac:dyDescent="0.3">
      <c r="A161" s="2"/>
      <c r="B161" s="2"/>
      <c r="C161" s="2"/>
      <c r="D161" s="2"/>
      <c r="E161" s="2"/>
      <c r="F161" s="12"/>
    </row>
  </sheetData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J17" sqref="J17"/>
    </sheetView>
  </sheetViews>
  <sheetFormatPr defaultRowHeight="14.4" x14ac:dyDescent="0.3"/>
  <cols>
    <col min="1" max="1" width="11.6640625" customWidth="1"/>
    <col min="2" max="2" width="28.109375" customWidth="1"/>
    <col min="3" max="3" width="17.44140625" customWidth="1"/>
    <col min="4" max="4" width="19.5546875" customWidth="1"/>
  </cols>
  <sheetData>
    <row r="1" spans="1:4" x14ac:dyDescent="0.3">
      <c r="A1" s="1" t="s">
        <v>189</v>
      </c>
      <c r="B1" s="1" t="s">
        <v>190</v>
      </c>
      <c r="C1" s="1" t="s">
        <v>191</v>
      </c>
      <c r="D1" s="1" t="s">
        <v>192</v>
      </c>
    </row>
    <row r="2" spans="1:4" x14ac:dyDescent="0.3">
      <c r="A2" s="2" t="s">
        <v>193</v>
      </c>
      <c r="B2" s="2" t="s">
        <v>194</v>
      </c>
      <c r="C2" s="2" t="s">
        <v>195</v>
      </c>
      <c r="D2" s="2">
        <v>90000</v>
      </c>
    </row>
    <row r="3" spans="1:4" x14ac:dyDescent="0.3">
      <c r="A3" s="2" t="s">
        <v>196</v>
      </c>
      <c r="B3" s="2" t="s">
        <v>197</v>
      </c>
      <c r="C3" s="2" t="s">
        <v>195</v>
      </c>
      <c r="D3" s="2">
        <v>110000</v>
      </c>
    </row>
    <row r="4" spans="1:4" x14ac:dyDescent="0.3">
      <c r="A4" s="2" t="s">
        <v>198</v>
      </c>
      <c r="B4" s="2" t="s">
        <v>199</v>
      </c>
      <c r="C4" s="2" t="s">
        <v>200</v>
      </c>
      <c r="D4" s="2">
        <v>140000</v>
      </c>
    </row>
    <row r="5" spans="1:4" x14ac:dyDescent="0.3">
      <c r="A5" s="2" t="s">
        <v>201</v>
      </c>
      <c r="B5" s="2" t="s">
        <v>202</v>
      </c>
      <c r="C5" s="2" t="s">
        <v>203</v>
      </c>
      <c r="D5" s="2">
        <v>180000</v>
      </c>
    </row>
    <row r="6" spans="1:4" x14ac:dyDescent="0.3">
      <c r="A6" s="2" t="s">
        <v>204</v>
      </c>
      <c r="B6" s="2" t="s">
        <v>205</v>
      </c>
      <c r="C6" s="2" t="s">
        <v>206</v>
      </c>
      <c r="D6" s="2">
        <v>70000</v>
      </c>
    </row>
    <row r="7" spans="1:4" x14ac:dyDescent="0.3">
      <c r="A7" s="2" t="s">
        <v>207</v>
      </c>
      <c r="B7" s="2" t="s">
        <v>208</v>
      </c>
      <c r="C7" s="2" t="s">
        <v>209</v>
      </c>
      <c r="D7" s="2">
        <v>150000</v>
      </c>
    </row>
    <row r="8" spans="1:4" x14ac:dyDescent="0.3">
      <c r="A8" s="2" t="s">
        <v>210</v>
      </c>
      <c r="B8" s="2" t="s">
        <v>211</v>
      </c>
      <c r="C8" s="2" t="s">
        <v>212</v>
      </c>
      <c r="D8" s="2">
        <v>160000</v>
      </c>
    </row>
    <row r="9" spans="1:4" x14ac:dyDescent="0.3">
      <c r="A9" s="2" t="s">
        <v>213</v>
      </c>
      <c r="B9" s="2" t="s">
        <v>214</v>
      </c>
      <c r="C9" s="2" t="s">
        <v>215</v>
      </c>
      <c r="D9" s="2">
        <v>100000</v>
      </c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1"/>
  <sheetViews>
    <sheetView topLeftCell="J1" workbookViewId="0">
      <selection activeCell="U222" sqref="U222:U232"/>
    </sheetView>
  </sheetViews>
  <sheetFormatPr defaultRowHeight="14.4" x14ac:dyDescent="0.3"/>
  <cols>
    <col min="1" max="1" width="13.5546875" customWidth="1"/>
    <col min="2" max="2" width="10.44140625" customWidth="1"/>
    <col min="3" max="3" width="11.6640625" customWidth="1"/>
    <col min="4" max="4" width="20.88671875" customWidth="1"/>
    <col min="5" max="5" width="23.33203125" customWidth="1"/>
    <col min="6" max="6" width="23.109375" customWidth="1"/>
    <col min="7" max="7" width="18.88671875" customWidth="1"/>
    <col min="8" max="8" width="10.5546875" customWidth="1"/>
    <col min="9" max="9" width="17.44140625" customWidth="1"/>
    <col min="10" max="10" width="13.5546875" customWidth="1"/>
    <col min="11" max="11" width="12.88671875" customWidth="1"/>
    <col min="12" max="12" width="21.5546875" customWidth="1"/>
    <col min="13" max="13" width="21.88671875" customWidth="1"/>
    <col min="14" max="14" width="14.33203125" customWidth="1"/>
    <col min="15" max="15" width="9.77734375" customWidth="1"/>
    <col min="16" max="16" width="12.5546875" bestFit="1" customWidth="1"/>
    <col min="17" max="17" width="19.6640625" customWidth="1"/>
    <col min="18" max="18" width="11" customWidth="1"/>
    <col min="19" max="19" width="15.109375" customWidth="1"/>
    <col min="20" max="20" width="21.6640625" customWidth="1"/>
    <col min="21" max="21" width="17.6640625" bestFit="1" customWidth="1"/>
  </cols>
  <sheetData>
    <row r="1" spans="1:21" x14ac:dyDescent="0.3">
      <c r="A1" s="1" t="s">
        <v>216</v>
      </c>
      <c r="B1" s="1" t="s">
        <v>0</v>
      </c>
      <c r="C1" s="1" t="s">
        <v>189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8" t="s">
        <v>225</v>
      </c>
      <c r="M1" s="1" t="s">
        <v>226</v>
      </c>
      <c r="N1" s="1" t="s">
        <v>227</v>
      </c>
    </row>
    <row r="2" spans="1:21" x14ac:dyDescent="0.3">
      <c r="A2" s="2" t="s">
        <v>228</v>
      </c>
      <c r="B2" s="2" t="s">
        <v>161</v>
      </c>
      <c r="C2" s="2" t="s">
        <v>196</v>
      </c>
      <c r="D2" s="2" t="s">
        <v>229</v>
      </c>
      <c r="E2" s="3">
        <v>45387</v>
      </c>
      <c r="F2" s="2">
        <v>138</v>
      </c>
      <c r="G2" s="3">
        <v>45525</v>
      </c>
      <c r="H2" s="2" t="s">
        <v>230</v>
      </c>
      <c r="I2" s="2">
        <v>96564.17</v>
      </c>
      <c r="J2" s="2">
        <v>59187.48</v>
      </c>
      <c r="K2" s="2">
        <v>17269.82</v>
      </c>
      <c r="L2" s="2">
        <v>82</v>
      </c>
      <c r="M2" s="3">
        <v>45469</v>
      </c>
      <c r="N2" s="2"/>
    </row>
    <row r="3" spans="1:21" x14ac:dyDescent="0.3">
      <c r="A3" s="2" t="s">
        <v>231</v>
      </c>
      <c r="B3" s="2" t="s">
        <v>42</v>
      </c>
      <c r="C3" s="2" t="s">
        <v>193</v>
      </c>
      <c r="D3" s="2" t="s">
        <v>232</v>
      </c>
      <c r="E3" s="3">
        <v>45955</v>
      </c>
      <c r="F3" s="2">
        <v>34</v>
      </c>
      <c r="G3" s="3">
        <v>45989</v>
      </c>
      <c r="H3" s="2" t="s">
        <v>233</v>
      </c>
      <c r="I3" s="2">
        <v>127246.91</v>
      </c>
      <c r="J3" s="2">
        <v>83196.45</v>
      </c>
      <c r="K3" s="2">
        <v>35925.22</v>
      </c>
      <c r="L3" s="2"/>
      <c r="M3" s="2"/>
      <c r="N3" s="2"/>
      <c r="P3" s="9" t="s">
        <v>2079</v>
      </c>
      <c r="Q3" s="2" t="s">
        <v>2081</v>
      </c>
      <c r="S3" s="9" t="s">
        <v>2079</v>
      </c>
      <c r="T3" s="10" t="s">
        <v>2083</v>
      </c>
      <c r="U3" s="10" t="s">
        <v>2084</v>
      </c>
    </row>
    <row r="4" spans="1:21" x14ac:dyDescent="0.3">
      <c r="A4" s="2" t="s">
        <v>234</v>
      </c>
      <c r="B4" s="2" t="s">
        <v>62</v>
      </c>
      <c r="C4" s="2" t="s">
        <v>193</v>
      </c>
      <c r="D4" s="2" t="s">
        <v>235</v>
      </c>
      <c r="E4" s="3">
        <v>45954</v>
      </c>
      <c r="F4" s="2">
        <v>148</v>
      </c>
      <c r="G4" s="3">
        <v>46102</v>
      </c>
      <c r="H4" s="2" t="s">
        <v>236</v>
      </c>
      <c r="I4" s="2">
        <v>102843</v>
      </c>
      <c r="J4" s="2">
        <v>61785.71</v>
      </c>
      <c r="K4" s="2">
        <v>66392.75</v>
      </c>
      <c r="L4" s="2">
        <v>123</v>
      </c>
      <c r="M4" s="3">
        <v>46077</v>
      </c>
      <c r="N4" s="2">
        <v>1</v>
      </c>
      <c r="P4" s="2" t="s">
        <v>233</v>
      </c>
      <c r="Q4" s="2">
        <v>80</v>
      </c>
      <c r="S4" s="2" t="s">
        <v>193</v>
      </c>
      <c r="T4" s="10">
        <v>1624006.78</v>
      </c>
      <c r="U4" s="10">
        <v>1295931.6299999999</v>
      </c>
    </row>
    <row r="5" spans="1:21" x14ac:dyDescent="0.3">
      <c r="A5" s="2" t="s">
        <v>237</v>
      </c>
      <c r="B5" s="2" t="s">
        <v>25</v>
      </c>
      <c r="C5" s="2" t="s">
        <v>196</v>
      </c>
      <c r="D5" s="2" t="s">
        <v>238</v>
      </c>
      <c r="E5" s="3">
        <v>45481</v>
      </c>
      <c r="F5" s="2">
        <v>62</v>
      </c>
      <c r="G5" s="3">
        <v>45543</v>
      </c>
      <c r="H5" s="2" t="s">
        <v>233</v>
      </c>
      <c r="I5" s="2">
        <v>133892.88</v>
      </c>
      <c r="J5" s="2">
        <v>93796.99</v>
      </c>
      <c r="K5" s="2">
        <v>45644.41</v>
      </c>
      <c r="L5" s="2"/>
      <c r="M5" s="2"/>
      <c r="N5" s="2"/>
      <c r="P5" s="2" t="s">
        <v>230</v>
      </c>
      <c r="Q5" s="2">
        <v>13</v>
      </c>
      <c r="S5" s="2" t="s">
        <v>196</v>
      </c>
      <c r="T5" s="10">
        <v>2198123.4900000002</v>
      </c>
      <c r="U5" s="10">
        <v>1556697.69</v>
      </c>
    </row>
    <row r="6" spans="1:21" x14ac:dyDescent="0.3">
      <c r="A6" s="2" t="s">
        <v>239</v>
      </c>
      <c r="B6" s="2" t="s">
        <v>100</v>
      </c>
      <c r="C6" s="2" t="s">
        <v>198</v>
      </c>
      <c r="D6" s="2" t="s">
        <v>240</v>
      </c>
      <c r="E6" s="3">
        <v>46027</v>
      </c>
      <c r="F6" s="2">
        <v>147</v>
      </c>
      <c r="G6" s="3">
        <v>46174</v>
      </c>
      <c r="H6" s="2" t="s">
        <v>233</v>
      </c>
      <c r="I6" s="2">
        <v>160026.20000000001</v>
      </c>
      <c r="J6" s="2">
        <v>103462.9</v>
      </c>
      <c r="K6" s="2">
        <v>69243.89</v>
      </c>
      <c r="L6" s="2"/>
      <c r="M6" s="2"/>
      <c r="N6" s="2"/>
      <c r="P6" s="2" t="s">
        <v>236</v>
      </c>
      <c r="Q6" s="2">
        <v>102</v>
      </c>
      <c r="S6" s="2" t="s">
        <v>198</v>
      </c>
      <c r="T6" s="10">
        <v>3303260.01</v>
      </c>
      <c r="U6" s="10">
        <v>2456270.4500000002</v>
      </c>
    </row>
    <row r="7" spans="1:21" x14ac:dyDescent="0.3">
      <c r="A7" s="2" t="s">
        <v>241</v>
      </c>
      <c r="B7" s="2" t="s">
        <v>102</v>
      </c>
      <c r="C7" s="2" t="s">
        <v>213</v>
      </c>
      <c r="D7" s="2" t="s">
        <v>242</v>
      </c>
      <c r="E7" s="3">
        <v>45328</v>
      </c>
      <c r="F7" s="2">
        <v>94</v>
      </c>
      <c r="G7" s="3">
        <v>45422</v>
      </c>
      <c r="H7" s="2" t="s">
        <v>233</v>
      </c>
      <c r="I7" s="2">
        <v>97818.13</v>
      </c>
      <c r="J7" s="2">
        <v>62745.120000000003</v>
      </c>
      <c r="K7" s="2">
        <v>30563.62</v>
      </c>
      <c r="L7" s="2"/>
      <c r="M7" s="2"/>
      <c r="N7" s="2"/>
      <c r="P7" s="2" t="s">
        <v>285</v>
      </c>
      <c r="Q7" s="2">
        <v>25</v>
      </c>
      <c r="S7" s="2" t="s">
        <v>201</v>
      </c>
      <c r="T7" s="10">
        <v>2995612.05</v>
      </c>
      <c r="U7" s="10">
        <v>2245424.58</v>
      </c>
    </row>
    <row r="8" spans="1:21" x14ac:dyDescent="0.3">
      <c r="A8" s="2" t="s">
        <v>243</v>
      </c>
      <c r="B8" s="2" t="s">
        <v>36</v>
      </c>
      <c r="C8" s="2" t="s">
        <v>207</v>
      </c>
      <c r="D8" s="2" t="s">
        <v>244</v>
      </c>
      <c r="E8" s="3">
        <v>46071</v>
      </c>
      <c r="F8" s="2">
        <v>175</v>
      </c>
      <c r="G8" s="3">
        <v>46246</v>
      </c>
      <c r="H8" s="2" t="s">
        <v>233</v>
      </c>
      <c r="I8" s="2">
        <v>148495.66</v>
      </c>
      <c r="J8" s="2">
        <v>112209.68</v>
      </c>
      <c r="K8" s="2">
        <v>52174.95</v>
      </c>
      <c r="L8" s="2"/>
      <c r="M8" s="2"/>
      <c r="N8" s="2"/>
      <c r="P8" s="2" t="s">
        <v>2080</v>
      </c>
      <c r="Q8" s="2">
        <v>220</v>
      </c>
      <c r="S8" s="2" t="s">
        <v>204</v>
      </c>
      <c r="T8" s="10">
        <v>1561752.67</v>
      </c>
      <c r="U8" s="10">
        <v>1191048.54</v>
      </c>
    </row>
    <row r="9" spans="1:21" x14ac:dyDescent="0.3">
      <c r="A9" s="2" t="s">
        <v>245</v>
      </c>
      <c r="B9" s="2" t="s">
        <v>133</v>
      </c>
      <c r="C9" s="2" t="s">
        <v>204</v>
      </c>
      <c r="D9" s="2" t="s">
        <v>246</v>
      </c>
      <c r="E9" s="3">
        <v>45660</v>
      </c>
      <c r="F9" s="2">
        <v>40</v>
      </c>
      <c r="G9" s="3">
        <v>45700</v>
      </c>
      <c r="H9" s="2" t="s">
        <v>236</v>
      </c>
      <c r="I9" s="2">
        <v>73747.429999999993</v>
      </c>
      <c r="J9" s="2">
        <v>44175.75</v>
      </c>
      <c r="K9" s="2">
        <v>47049.38</v>
      </c>
      <c r="L9" s="2">
        <v>32</v>
      </c>
      <c r="M9" s="3">
        <v>45692</v>
      </c>
      <c r="N9" s="2">
        <v>1</v>
      </c>
      <c r="S9" s="2" t="s">
        <v>207</v>
      </c>
      <c r="T9" s="10">
        <v>2186936.16</v>
      </c>
      <c r="U9" s="10">
        <v>1605449.59</v>
      </c>
    </row>
    <row r="10" spans="1:21" x14ac:dyDescent="0.3">
      <c r="A10" s="2" t="s">
        <v>247</v>
      </c>
      <c r="B10" s="2" t="s">
        <v>114</v>
      </c>
      <c r="C10" s="2" t="s">
        <v>204</v>
      </c>
      <c r="D10" s="2" t="s">
        <v>248</v>
      </c>
      <c r="E10" s="3">
        <v>45986</v>
      </c>
      <c r="F10" s="2">
        <v>114</v>
      </c>
      <c r="G10" s="3">
        <v>46100</v>
      </c>
      <c r="H10" s="2" t="s">
        <v>236</v>
      </c>
      <c r="I10" s="2">
        <v>84637.74</v>
      </c>
      <c r="J10" s="2">
        <v>55762.58</v>
      </c>
      <c r="K10" s="2">
        <v>50812.17</v>
      </c>
      <c r="L10" s="2">
        <v>140</v>
      </c>
      <c r="M10" s="3">
        <v>46126</v>
      </c>
      <c r="N10" s="2">
        <v>0</v>
      </c>
      <c r="S10" s="2" t="s">
        <v>210</v>
      </c>
      <c r="T10" s="10">
        <v>2075700.67</v>
      </c>
      <c r="U10" s="10">
        <v>1588668.03</v>
      </c>
    </row>
    <row r="11" spans="1:21" x14ac:dyDescent="0.3">
      <c r="A11" s="2" t="s">
        <v>249</v>
      </c>
      <c r="B11" s="2" t="s">
        <v>72</v>
      </c>
      <c r="C11" s="2" t="s">
        <v>207</v>
      </c>
      <c r="D11" s="2" t="s">
        <v>250</v>
      </c>
      <c r="E11" s="3">
        <v>45816</v>
      </c>
      <c r="F11" s="2">
        <v>55</v>
      </c>
      <c r="G11" s="3">
        <v>45871</v>
      </c>
      <c r="H11" s="2" t="s">
        <v>230</v>
      </c>
      <c r="I11" s="2">
        <v>138681.79999999999</v>
      </c>
      <c r="J11" s="2">
        <v>103981.3</v>
      </c>
      <c r="K11" s="2">
        <v>46470.78</v>
      </c>
      <c r="L11" s="2">
        <v>26</v>
      </c>
      <c r="M11" s="3">
        <v>45842</v>
      </c>
      <c r="N11" s="2"/>
      <c r="P11" s="9" t="s">
        <v>2079</v>
      </c>
      <c r="Q11" s="2" t="s">
        <v>2082</v>
      </c>
      <c r="S11" s="2" t="s">
        <v>213</v>
      </c>
      <c r="T11" s="10">
        <v>2077575.62</v>
      </c>
      <c r="U11" s="10">
        <v>1540382.35</v>
      </c>
    </row>
    <row r="12" spans="1:21" x14ac:dyDescent="0.3">
      <c r="A12" s="2" t="s">
        <v>251</v>
      </c>
      <c r="B12" s="2" t="s">
        <v>175</v>
      </c>
      <c r="C12" s="2" t="s">
        <v>210</v>
      </c>
      <c r="D12" s="2" t="s">
        <v>252</v>
      </c>
      <c r="E12" s="3">
        <v>45570</v>
      </c>
      <c r="F12" s="2">
        <v>92</v>
      </c>
      <c r="G12" s="3">
        <v>45662</v>
      </c>
      <c r="H12" s="2" t="s">
        <v>236</v>
      </c>
      <c r="I12" s="2">
        <v>176189.5</v>
      </c>
      <c r="J12" s="2">
        <v>122280.92</v>
      </c>
      <c r="K12" s="2">
        <v>105251.3</v>
      </c>
      <c r="L12" s="2">
        <v>79</v>
      </c>
      <c r="M12" s="3">
        <v>45649</v>
      </c>
      <c r="N12" s="2">
        <v>1</v>
      </c>
      <c r="P12" s="2" t="s">
        <v>193</v>
      </c>
      <c r="Q12" s="2">
        <v>2429143.83</v>
      </c>
      <c r="S12" s="2" t="s">
        <v>2080</v>
      </c>
      <c r="T12" s="10">
        <v>18022967.449999999</v>
      </c>
      <c r="U12" s="10">
        <v>13479872.859999999</v>
      </c>
    </row>
    <row r="13" spans="1:21" x14ac:dyDescent="0.3">
      <c r="A13" s="2" t="s">
        <v>253</v>
      </c>
      <c r="B13" s="2" t="s">
        <v>86</v>
      </c>
      <c r="C13" s="2" t="s">
        <v>210</v>
      </c>
      <c r="D13" s="2" t="s">
        <v>254</v>
      </c>
      <c r="E13" s="3">
        <v>45508</v>
      </c>
      <c r="F13" s="2">
        <v>115</v>
      </c>
      <c r="G13" s="3">
        <v>45623</v>
      </c>
      <c r="H13" s="2" t="s">
        <v>233</v>
      </c>
      <c r="I13" s="2">
        <v>181384.5</v>
      </c>
      <c r="J13" s="2">
        <v>138177.81</v>
      </c>
      <c r="K13" s="2">
        <v>90965.93</v>
      </c>
      <c r="L13" s="2"/>
      <c r="M13" s="2"/>
      <c r="N13" s="2"/>
      <c r="P13" s="2" t="s">
        <v>196</v>
      </c>
      <c r="Q13" s="2">
        <v>3345480.71</v>
      </c>
    </row>
    <row r="14" spans="1:21" x14ac:dyDescent="0.3">
      <c r="A14" s="2" t="s">
        <v>255</v>
      </c>
      <c r="B14" s="2" t="s">
        <v>145</v>
      </c>
      <c r="C14" s="2" t="s">
        <v>193</v>
      </c>
      <c r="D14" s="2" t="s">
        <v>256</v>
      </c>
      <c r="E14" s="3">
        <v>46158</v>
      </c>
      <c r="F14" s="2">
        <v>88</v>
      </c>
      <c r="G14" s="3">
        <v>46246</v>
      </c>
      <c r="H14" s="2" t="s">
        <v>236</v>
      </c>
      <c r="I14" s="2">
        <v>88223.23</v>
      </c>
      <c r="J14" s="2">
        <v>50903.12</v>
      </c>
      <c r="K14" s="2">
        <v>54783.8</v>
      </c>
      <c r="L14" s="2">
        <v>75</v>
      </c>
      <c r="M14" s="3">
        <v>46233</v>
      </c>
      <c r="N14" s="2">
        <v>1</v>
      </c>
      <c r="P14" s="2" t="s">
        <v>198</v>
      </c>
      <c r="Q14" s="2">
        <v>4966211.74</v>
      </c>
      <c r="S14" s="2"/>
    </row>
    <row r="15" spans="1:21" x14ac:dyDescent="0.3">
      <c r="A15" s="2" t="s">
        <v>257</v>
      </c>
      <c r="B15" s="2" t="s">
        <v>47</v>
      </c>
      <c r="C15" s="2" t="s">
        <v>193</v>
      </c>
      <c r="D15" s="2" t="s">
        <v>258</v>
      </c>
      <c r="E15" s="3">
        <v>46164</v>
      </c>
      <c r="F15" s="2">
        <v>56</v>
      </c>
      <c r="G15" s="3">
        <v>46220</v>
      </c>
      <c r="H15" s="2" t="s">
        <v>236</v>
      </c>
      <c r="I15" s="2">
        <v>118514.32</v>
      </c>
      <c r="J15" s="2">
        <v>76912.28</v>
      </c>
      <c r="K15" s="2">
        <v>77852.63</v>
      </c>
      <c r="L15" s="2">
        <v>49</v>
      </c>
      <c r="M15" s="3">
        <v>46213</v>
      </c>
      <c r="N15" s="2">
        <v>1</v>
      </c>
      <c r="P15" s="2" t="s">
        <v>201</v>
      </c>
      <c r="Q15" s="2">
        <v>4682311.4400000004</v>
      </c>
    </row>
    <row r="16" spans="1:21" x14ac:dyDescent="0.3">
      <c r="A16" s="2" t="s">
        <v>259</v>
      </c>
      <c r="B16" s="2" t="s">
        <v>36</v>
      </c>
      <c r="C16" s="2" t="s">
        <v>198</v>
      </c>
      <c r="D16" s="2" t="s">
        <v>260</v>
      </c>
      <c r="E16" s="3">
        <v>46089</v>
      </c>
      <c r="F16" s="2">
        <v>127</v>
      </c>
      <c r="G16" s="3">
        <v>46216</v>
      </c>
      <c r="H16" s="2" t="s">
        <v>233</v>
      </c>
      <c r="I16" s="2">
        <v>143945.62</v>
      </c>
      <c r="J16" s="2">
        <v>88075.79</v>
      </c>
      <c r="K16" s="2">
        <v>65949.350000000006</v>
      </c>
      <c r="L16" s="2"/>
      <c r="M16" s="2"/>
      <c r="N16" s="2"/>
      <c r="P16" s="2" t="s">
        <v>204</v>
      </c>
      <c r="Q16" s="2">
        <v>2383335.83</v>
      </c>
    </row>
    <row r="17" spans="1:21" x14ac:dyDescent="0.3">
      <c r="A17" s="2" t="s">
        <v>261</v>
      </c>
      <c r="B17" s="2" t="s">
        <v>106</v>
      </c>
      <c r="C17" s="2" t="s">
        <v>201</v>
      </c>
      <c r="D17" s="2" t="s">
        <v>262</v>
      </c>
      <c r="E17" s="3">
        <v>45564</v>
      </c>
      <c r="F17" s="2">
        <v>134</v>
      </c>
      <c r="G17" s="3">
        <v>45698</v>
      </c>
      <c r="H17" s="2" t="s">
        <v>233</v>
      </c>
      <c r="I17" s="2">
        <v>153030.35</v>
      </c>
      <c r="J17" s="2">
        <v>95090.5</v>
      </c>
      <c r="K17" s="2">
        <v>54925.23</v>
      </c>
      <c r="L17" s="2"/>
      <c r="M17" s="2"/>
      <c r="N17" s="2"/>
      <c r="P17" s="2" t="s">
        <v>207</v>
      </c>
      <c r="Q17" s="2">
        <v>3289850.4</v>
      </c>
    </row>
    <row r="18" spans="1:21" x14ac:dyDescent="0.3">
      <c r="A18" s="2" t="s">
        <v>263</v>
      </c>
      <c r="B18" s="2" t="s">
        <v>159</v>
      </c>
      <c r="C18" s="2" t="s">
        <v>196</v>
      </c>
      <c r="D18" s="2" t="s">
        <v>264</v>
      </c>
      <c r="E18" s="3">
        <v>46172</v>
      </c>
      <c r="F18" s="2">
        <v>128</v>
      </c>
      <c r="G18" s="3">
        <v>46300</v>
      </c>
      <c r="H18" s="2" t="s">
        <v>236</v>
      </c>
      <c r="I18" s="2">
        <v>99054.19</v>
      </c>
      <c r="J18" s="2">
        <v>68149.75</v>
      </c>
      <c r="K18" s="2">
        <v>73557.02</v>
      </c>
      <c r="L18" s="2">
        <v>119</v>
      </c>
      <c r="M18" s="3">
        <v>46291</v>
      </c>
      <c r="N18" s="2">
        <v>1</v>
      </c>
      <c r="P18" s="2" t="s">
        <v>210</v>
      </c>
      <c r="Q18" s="2">
        <v>3088422.69</v>
      </c>
    </row>
    <row r="19" spans="1:21" x14ac:dyDescent="0.3">
      <c r="A19" s="2" t="s">
        <v>265</v>
      </c>
      <c r="B19" s="2" t="s">
        <v>74</v>
      </c>
      <c r="C19" s="2" t="s">
        <v>193</v>
      </c>
      <c r="D19" s="2" t="s">
        <v>266</v>
      </c>
      <c r="E19" s="3">
        <v>45353</v>
      </c>
      <c r="F19" s="2">
        <v>158</v>
      </c>
      <c r="G19" s="3">
        <v>45511</v>
      </c>
      <c r="H19" s="2" t="s">
        <v>233</v>
      </c>
      <c r="I19" s="2">
        <v>42007.19</v>
      </c>
      <c r="J19" s="2">
        <v>31414.16</v>
      </c>
      <c r="K19" s="2">
        <v>23244.14</v>
      </c>
      <c r="L19" s="2"/>
      <c r="M19" s="2"/>
      <c r="N19" s="2"/>
      <c r="P19" s="2" t="s">
        <v>213</v>
      </c>
      <c r="Q19" s="2">
        <v>3065396.14</v>
      </c>
    </row>
    <row r="20" spans="1:21" x14ac:dyDescent="0.3">
      <c r="A20" s="2" t="s">
        <v>267</v>
      </c>
      <c r="B20" s="2" t="s">
        <v>173</v>
      </c>
      <c r="C20" s="2" t="s">
        <v>204</v>
      </c>
      <c r="D20" s="2" t="s">
        <v>268</v>
      </c>
      <c r="E20" s="3">
        <v>45887</v>
      </c>
      <c r="F20" s="2">
        <v>178</v>
      </c>
      <c r="G20" s="3">
        <v>46065</v>
      </c>
      <c r="H20" s="2" t="s">
        <v>236</v>
      </c>
      <c r="I20" s="2">
        <v>69627.67</v>
      </c>
      <c r="J20" s="2">
        <v>39975.61</v>
      </c>
      <c r="K20" s="2">
        <v>46995.27</v>
      </c>
      <c r="L20" s="2">
        <v>161</v>
      </c>
      <c r="M20" s="3">
        <v>46048</v>
      </c>
      <c r="N20" s="2">
        <v>1</v>
      </c>
      <c r="P20" s="2" t="s">
        <v>2080</v>
      </c>
      <c r="Q20" s="2">
        <v>27250152.780000001</v>
      </c>
    </row>
    <row r="21" spans="1:21" x14ac:dyDescent="0.3">
      <c r="A21" s="2" t="s">
        <v>269</v>
      </c>
      <c r="B21" s="2" t="s">
        <v>67</v>
      </c>
      <c r="C21" s="2" t="s">
        <v>198</v>
      </c>
      <c r="D21" s="2" t="s">
        <v>270</v>
      </c>
      <c r="E21" s="3">
        <v>46171</v>
      </c>
      <c r="F21" s="2">
        <v>84</v>
      </c>
      <c r="G21" s="3">
        <v>46255</v>
      </c>
      <c r="H21" s="2" t="s">
        <v>236</v>
      </c>
      <c r="I21" s="2">
        <v>122413.05</v>
      </c>
      <c r="J21" s="2">
        <v>71339.14</v>
      </c>
      <c r="K21" s="2">
        <v>75190.84</v>
      </c>
      <c r="L21" s="2">
        <v>86</v>
      </c>
      <c r="M21" s="3">
        <v>46257</v>
      </c>
      <c r="N21" s="2">
        <v>0</v>
      </c>
    </row>
    <row r="22" spans="1:21" x14ac:dyDescent="0.3">
      <c r="A22" s="2" t="s">
        <v>271</v>
      </c>
      <c r="B22" s="2" t="s">
        <v>21</v>
      </c>
      <c r="C22" s="2" t="s">
        <v>196</v>
      </c>
      <c r="D22" s="2" t="s">
        <v>272</v>
      </c>
      <c r="E22" s="3">
        <v>46020</v>
      </c>
      <c r="F22" s="2">
        <v>35</v>
      </c>
      <c r="G22" s="3">
        <v>46055</v>
      </c>
      <c r="H22" s="2" t="s">
        <v>236</v>
      </c>
      <c r="I22" s="2">
        <v>122702.31</v>
      </c>
      <c r="J22" s="2">
        <v>67762.02</v>
      </c>
      <c r="K22" s="2">
        <v>69174.509999999995</v>
      </c>
      <c r="L22" s="2">
        <v>33</v>
      </c>
      <c r="M22" s="3">
        <v>46053</v>
      </c>
      <c r="N22" s="2">
        <v>1</v>
      </c>
    </row>
    <row r="23" spans="1:21" x14ac:dyDescent="0.3">
      <c r="A23" s="2" t="s">
        <v>273</v>
      </c>
      <c r="B23" s="2" t="s">
        <v>77</v>
      </c>
      <c r="C23" s="2" t="s">
        <v>198</v>
      </c>
      <c r="D23" s="2" t="s">
        <v>274</v>
      </c>
      <c r="E23" s="3">
        <v>45633</v>
      </c>
      <c r="F23" s="2">
        <v>124</v>
      </c>
      <c r="G23" s="3">
        <v>45757</v>
      </c>
      <c r="H23" s="2" t="s">
        <v>236</v>
      </c>
      <c r="I23" s="2">
        <v>194874.05</v>
      </c>
      <c r="J23" s="2">
        <v>111119</v>
      </c>
      <c r="K23" s="2">
        <v>95668.68</v>
      </c>
      <c r="L23" s="2">
        <v>118</v>
      </c>
      <c r="M23" s="3">
        <v>45751</v>
      </c>
      <c r="N23" s="2">
        <v>1</v>
      </c>
    </row>
    <row r="24" spans="1:21" x14ac:dyDescent="0.3">
      <c r="A24" s="2" t="s">
        <v>275</v>
      </c>
      <c r="B24" s="2" t="s">
        <v>143</v>
      </c>
      <c r="C24" s="2" t="s">
        <v>196</v>
      </c>
      <c r="D24" s="2" t="s">
        <v>276</v>
      </c>
      <c r="E24" s="3">
        <v>45688</v>
      </c>
      <c r="F24" s="2">
        <v>162</v>
      </c>
      <c r="G24" s="3">
        <v>45850</v>
      </c>
      <c r="H24" s="2" t="s">
        <v>236</v>
      </c>
      <c r="I24" s="2">
        <v>105667.91</v>
      </c>
      <c r="J24" s="2">
        <v>61342.82</v>
      </c>
      <c r="K24" s="2">
        <v>66098.33</v>
      </c>
      <c r="L24" s="2">
        <v>170</v>
      </c>
      <c r="M24" s="3">
        <v>45858</v>
      </c>
      <c r="N24" s="2">
        <v>0</v>
      </c>
      <c r="P24" s="2" t="s">
        <v>2077</v>
      </c>
      <c r="Q24" s="2" t="s">
        <v>2078</v>
      </c>
    </row>
    <row r="25" spans="1:21" x14ac:dyDescent="0.3">
      <c r="A25" s="2" t="s">
        <v>277</v>
      </c>
      <c r="B25" s="2" t="s">
        <v>83</v>
      </c>
      <c r="C25" s="2" t="s">
        <v>196</v>
      </c>
      <c r="D25" s="2" t="s">
        <v>278</v>
      </c>
      <c r="E25" s="3">
        <v>45990</v>
      </c>
      <c r="F25" s="2">
        <v>131</v>
      </c>
      <c r="G25" s="3">
        <v>46121</v>
      </c>
      <c r="H25" s="2" t="s">
        <v>233</v>
      </c>
      <c r="I25" s="2">
        <v>92288.57</v>
      </c>
      <c r="J25" s="2">
        <v>67752.27</v>
      </c>
      <c r="K25" s="2">
        <v>30493.61</v>
      </c>
      <c r="L25" s="2"/>
      <c r="M25" s="2"/>
      <c r="N25" s="2"/>
      <c r="P25" s="2">
        <f>COUNTA(A2:A221)</f>
        <v>220</v>
      </c>
      <c r="Q25" s="2">
        <f>COUNTA(_xlfn.UNIQUE(A2:A221))</f>
        <v>220</v>
      </c>
    </row>
    <row r="26" spans="1:21" x14ac:dyDescent="0.3">
      <c r="A26" s="2" t="s">
        <v>279</v>
      </c>
      <c r="B26" s="2" t="s">
        <v>100</v>
      </c>
      <c r="C26" s="2" t="s">
        <v>207</v>
      </c>
      <c r="D26" s="2" t="s">
        <v>280</v>
      </c>
      <c r="E26" s="3">
        <v>45310</v>
      </c>
      <c r="F26" s="2">
        <v>32</v>
      </c>
      <c r="G26" s="3">
        <v>45342</v>
      </c>
      <c r="H26" s="2" t="s">
        <v>233</v>
      </c>
      <c r="I26" s="2">
        <v>196178.73</v>
      </c>
      <c r="J26" s="2">
        <v>109323.5</v>
      </c>
      <c r="K26" s="2">
        <v>89438.23</v>
      </c>
      <c r="L26" s="2"/>
      <c r="M26" s="2"/>
      <c r="N26" s="2"/>
    </row>
    <row r="27" spans="1:21" x14ac:dyDescent="0.3">
      <c r="A27" s="2" t="s">
        <v>281</v>
      </c>
      <c r="B27" s="2" t="s">
        <v>177</v>
      </c>
      <c r="C27" s="2" t="s">
        <v>193</v>
      </c>
      <c r="D27" s="2" t="s">
        <v>282</v>
      </c>
      <c r="E27" s="3">
        <v>45468</v>
      </c>
      <c r="F27" s="2">
        <v>52</v>
      </c>
      <c r="G27" s="3">
        <v>45520</v>
      </c>
      <c r="H27" s="2" t="s">
        <v>236</v>
      </c>
      <c r="I27" s="2">
        <v>108307.75</v>
      </c>
      <c r="J27" s="2">
        <v>60863.91</v>
      </c>
      <c r="K27" s="2">
        <v>65975.86</v>
      </c>
      <c r="L27" s="2">
        <v>54</v>
      </c>
      <c r="M27" s="3">
        <v>45522</v>
      </c>
      <c r="N27" s="2">
        <v>0</v>
      </c>
    </row>
    <row r="28" spans="1:21" x14ac:dyDescent="0.3">
      <c r="A28" s="2" t="s">
        <v>283</v>
      </c>
      <c r="B28" s="2" t="s">
        <v>167</v>
      </c>
      <c r="C28" s="2" t="s">
        <v>213</v>
      </c>
      <c r="D28" s="2" t="s">
        <v>284</v>
      </c>
      <c r="E28" s="3">
        <v>45903</v>
      </c>
      <c r="F28" s="2">
        <v>82</v>
      </c>
      <c r="G28" s="3">
        <v>45985</v>
      </c>
      <c r="H28" s="2" t="s">
        <v>285</v>
      </c>
      <c r="I28" s="2">
        <v>108651.79</v>
      </c>
      <c r="J28" s="2">
        <v>79793.600000000006</v>
      </c>
      <c r="K28" s="2">
        <v>29501.7</v>
      </c>
      <c r="L28" s="2"/>
      <c r="M28" s="2"/>
      <c r="N28" s="2"/>
      <c r="P28" s="2" t="s">
        <v>2088</v>
      </c>
      <c r="Q28" s="2" t="s">
        <v>233</v>
      </c>
      <c r="R28" s="2" t="s">
        <v>230</v>
      </c>
      <c r="S28" s="2" t="s">
        <v>285</v>
      </c>
      <c r="T28" s="2" t="s">
        <v>2094</v>
      </c>
      <c r="U28" s="2" t="s">
        <v>2092</v>
      </c>
    </row>
    <row r="29" spans="1:21" x14ac:dyDescent="0.3">
      <c r="A29" s="2" t="s">
        <v>286</v>
      </c>
      <c r="B29" s="2" t="s">
        <v>58</v>
      </c>
      <c r="C29" s="2" t="s">
        <v>198</v>
      </c>
      <c r="D29" s="2" t="s">
        <v>287</v>
      </c>
      <c r="E29" s="3">
        <v>45687</v>
      </c>
      <c r="F29" s="2">
        <v>112</v>
      </c>
      <c r="G29" s="3">
        <v>45799</v>
      </c>
      <c r="H29" s="2" t="s">
        <v>233</v>
      </c>
      <c r="I29" s="2">
        <v>160988.51</v>
      </c>
      <c r="J29" s="2">
        <v>118714.5</v>
      </c>
      <c r="K29" s="2">
        <v>46305.47</v>
      </c>
      <c r="L29" s="2"/>
      <c r="M29" s="2"/>
      <c r="N29" s="2"/>
      <c r="P29" s="2">
        <f>COUNTIFS(H2:H221,"Completed")</f>
        <v>102</v>
      </c>
      <c r="Q29" s="2">
        <f>COUNTIFS(H2:H221,"Active")</f>
        <v>80</v>
      </c>
      <c r="R29" s="2">
        <f>COUNTIFS(H2:H221,"Cancelled")</f>
        <v>13</v>
      </c>
      <c r="S29" s="2">
        <f>COUNTIFS(H2:H221,"On Hold")</f>
        <v>25</v>
      </c>
      <c r="T29" s="2">
        <f>COUNTIFS(H2:H221,"completed",N2:N221,1)</f>
        <v>52</v>
      </c>
      <c r="U29" s="11">
        <f>COUNTIFS(H2:H221,"completed")/COUNTA(A2:A221)</f>
        <v>0.46363636363636362</v>
      </c>
    </row>
    <row r="30" spans="1:21" x14ac:dyDescent="0.3">
      <c r="A30" s="2" t="s">
        <v>288</v>
      </c>
      <c r="B30" s="2" t="s">
        <v>110</v>
      </c>
      <c r="C30" s="2" t="s">
        <v>213</v>
      </c>
      <c r="D30" s="2" t="s">
        <v>289</v>
      </c>
      <c r="E30" s="3">
        <v>45736</v>
      </c>
      <c r="F30" s="2">
        <v>174</v>
      </c>
      <c r="G30" s="3">
        <v>45910</v>
      </c>
      <c r="H30" s="2" t="s">
        <v>236</v>
      </c>
      <c r="I30" s="2">
        <v>102519.73</v>
      </c>
      <c r="J30" s="2">
        <v>75657.36</v>
      </c>
      <c r="K30" s="2">
        <v>80376.91</v>
      </c>
      <c r="L30" s="2">
        <v>174</v>
      </c>
      <c r="M30" s="3">
        <v>45910</v>
      </c>
      <c r="N30" s="2">
        <v>1</v>
      </c>
    </row>
    <row r="31" spans="1:21" x14ac:dyDescent="0.3">
      <c r="A31" s="2" t="s">
        <v>290</v>
      </c>
      <c r="B31" s="2" t="s">
        <v>108</v>
      </c>
      <c r="C31" s="2" t="s">
        <v>198</v>
      </c>
      <c r="D31" s="2" t="s">
        <v>291</v>
      </c>
      <c r="E31" s="3">
        <v>45524</v>
      </c>
      <c r="F31" s="2">
        <v>114</v>
      </c>
      <c r="G31" s="3">
        <v>45638</v>
      </c>
      <c r="H31" s="2" t="s">
        <v>230</v>
      </c>
      <c r="I31" s="2">
        <v>169264.48</v>
      </c>
      <c r="J31" s="2">
        <v>113588.76</v>
      </c>
      <c r="K31" s="2">
        <v>15531.39</v>
      </c>
      <c r="L31" s="2">
        <v>53</v>
      </c>
      <c r="M31" s="3">
        <v>45577</v>
      </c>
      <c r="N31" s="2"/>
    </row>
    <row r="32" spans="1:21" x14ac:dyDescent="0.3">
      <c r="A32" s="2" t="s">
        <v>292</v>
      </c>
      <c r="B32" s="2" t="s">
        <v>102</v>
      </c>
      <c r="C32" s="2" t="s">
        <v>207</v>
      </c>
      <c r="D32" s="2" t="s">
        <v>293</v>
      </c>
      <c r="E32" s="3">
        <v>45367</v>
      </c>
      <c r="F32" s="2">
        <v>107</v>
      </c>
      <c r="G32" s="3">
        <v>45474</v>
      </c>
      <c r="H32" s="2" t="s">
        <v>230</v>
      </c>
      <c r="I32" s="2">
        <v>115957.98</v>
      </c>
      <c r="J32" s="2">
        <v>84838.42</v>
      </c>
      <c r="K32" s="2">
        <v>27503.599999999999</v>
      </c>
      <c r="L32" s="2">
        <v>45</v>
      </c>
      <c r="M32" s="3">
        <v>45412</v>
      </c>
      <c r="N32" s="2"/>
    </row>
    <row r="33" spans="1:14" x14ac:dyDescent="0.3">
      <c r="A33" s="2" t="s">
        <v>294</v>
      </c>
      <c r="B33" s="2" t="s">
        <v>94</v>
      </c>
      <c r="C33" s="2" t="s">
        <v>204</v>
      </c>
      <c r="D33" s="2" t="s">
        <v>295</v>
      </c>
      <c r="E33" s="3">
        <v>45556</v>
      </c>
      <c r="F33" s="2">
        <v>139</v>
      </c>
      <c r="G33" s="3">
        <v>45695</v>
      </c>
      <c r="H33" s="2" t="s">
        <v>236</v>
      </c>
      <c r="I33" s="2">
        <v>61848.81</v>
      </c>
      <c r="J33" s="2">
        <v>41917.019999999997</v>
      </c>
      <c r="K33" s="2">
        <v>38789.589999999997</v>
      </c>
      <c r="L33" s="2">
        <v>156</v>
      </c>
      <c r="M33" s="3">
        <v>45712</v>
      </c>
      <c r="N33" s="2">
        <v>0</v>
      </c>
    </row>
    <row r="34" spans="1:14" x14ac:dyDescent="0.3">
      <c r="A34" s="2" t="s">
        <v>296</v>
      </c>
      <c r="B34" s="2" t="s">
        <v>55</v>
      </c>
      <c r="C34" s="2" t="s">
        <v>213</v>
      </c>
      <c r="D34" s="2" t="s">
        <v>297</v>
      </c>
      <c r="E34" s="3">
        <v>45746</v>
      </c>
      <c r="F34" s="2">
        <v>30</v>
      </c>
      <c r="G34" s="3">
        <v>45776</v>
      </c>
      <c r="H34" s="2" t="s">
        <v>236</v>
      </c>
      <c r="I34" s="2">
        <v>75187.8</v>
      </c>
      <c r="J34" s="2">
        <v>53116.61</v>
      </c>
      <c r="K34" s="2">
        <v>45686.41</v>
      </c>
      <c r="L34" s="2">
        <v>24</v>
      </c>
      <c r="M34" s="3">
        <v>45770</v>
      </c>
      <c r="N34" s="2">
        <v>1</v>
      </c>
    </row>
    <row r="35" spans="1:14" x14ac:dyDescent="0.3">
      <c r="A35" s="2" t="s">
        <v>298</v>
      </c>
      <c r="B35" s="2" t="s">
        <v>100</v>
      </c>
      <c r="C35" s="2" t="s">
        <v>204</v>
      </c>
      <c r="D35" s="2" t="s">
        <v>299</v>
      </c>
      <c r="E35" s="3">
        <v>46087</v>
      </c>
      <c r="F35" s="2">
        <v>80</v>
      </c>
      <c r="G35" s="3">
        <v>46167</v>
      </c>
      <c r="H35" s="2" t="s">
        <v>230</v>
      </c>
      <c r="I35" s="2">
        <v>78689.87</v>
      </c>
      <c r="J35" s="2">
        <v>47943.15</v>
      </c>
      <c r="K35" s="2">
        <v>23526.79</v>
      </c>
      <c r="L35" s="2">
        <v>26</v>
      </c>
      <c r="M35" s="3">
        <v>46113</v>
      </c>
      <c r="N35" s="2"/>
    </row>
    <row r="36" spans="1:14" x14ac:dyDescent="0.3">
      <c r="A36" s="2" t="s">
        <v>300</v>
      </c>
      <c r="B36" s="2" t="s">
        <v>74</v>
      </c>
      <c r="C36" s="2" t="s">
        <v>210</v>
      </c>
      <c r="D36" s="2" t="s">
        <v>301</v>
      </c>
      <c r="E36" s="3">
        <v>46009</v>
      </c>
      <c r="F36" s="2">
        <v>33</v>
      </c>
      <c r="G36" s="3">
        <v>46042</v>
      </c>
      <c r="H36" s="2" t="s">
        <v>233</v>
      </c>
      <c r="I36" s="2">
        <v>192837.34</v>
      </c>
      <c r="J36" s="2">
        <v>124932.27</v>
      </c>
      <c r="K36" s="2">
        <v>65335.519999999997</v>
      </c>
      <c r="L36" s="2"/>
      <c r="M36" s="2"/>
      <c r="N36" s="2"/>
    </row>
    <row r="37" spans="1:14" x14ac:dyDescent="0.3">
      <c r="A37" s="2" t="s">
        <v>302</v>
      </c>
      <c r="B37" s="2" t="s">
        <v>179</v>
      </c>
      <c r="C37" s="2" t="s">
        <v>193</v>
      </c>
      <c r="D37" s="2" t="s">
        <v>303</v>
      </c>
      <c r="E37" s="3">
        <v>46026</v>
      </c>
      <c r="F37" s="2">
        <v>142</v>
      </c>
      <c r="G37" s="3">
        <v>46168</v>
      </c>
      <c r="H37" s="2" t="s">
        <v>236</v>
      </c>
      <c r="I37" s="2">
        <v>107288.54</v>
      </c>
      <c r="J37" s="2">
        <v>68164.58</v>
      </c>
      <c r="K37" s="2">
        <v>58842.13</v>
      </c>
      <c r="L37" s="2">
        <v>176</v>
      </c>
      <c r="M37" s="3">
        <v>46202</v>
      </c>
      <c r="N37" s="2">
        <v>0</v>
      </c>
    </row>
    <row r="38" spans="1:14" x14ac:dyDescent="0.3">
      <c r="A38" s="2" t="s">
        <v>304</v>
      </c>
      <c r="B38" s="2" t="s">
        <v>79</v>
      </c>
      <c r="C38" s="2" t="s">
        <v>193</v>
      </c>
      <c r="D38" s="2" t="s">
        <v>305</v>
      </c>
      <c r="E38" s="3">
        <v>45675</v>
      </c>
      <c r="F38" s="2">
        <v>61</v>
      </c>
      <c r="G38" s="3">
        <v>45736</v>
      </c>
      <c r="H38" s="2" t="s">
        <v>233</v>
      </c>
      <c r="I38" s="2">
        <v>94444.15</v>
      </c>
      <c r="J38" s="2">
        <v>61471.95</v>
      </c>
      <c r="K38" s="2">
        <v>43806.69</v>
      </c>
      <c r="L38" s="2"/>
      <c r="M38" s="2"/>
      <c r="N38" s="2"/>
    </row>
    <row r="39" spans="1:14" x14ac:dyDescent="0.3">
      <c r="A39" s="2" t="s">
        <v>306</v>
      </c>
      <c r="B39" s="2" t="s">
        <v>141</v>
      </c>
      <c r="C39" s="2" t="s">
        <v>201</v>
      </c>
      <c r="D39" s="2" t="s">
        <v>307</v>
      </c>
      <c r="E39" s="3">
        <v>45855</v>
      </c>
      <c r="F39" s="2">
        <v>63</v>
      </c>
      <c r="G39" s="3">
        <v>45918</v>
      </c>
      <c r="H39" s="2" t="s">
        <v>285</v>
      </c>
      <c r="I39" s="2">
        <v>221465.09</v>
      </c>
      <c r="J39" s="2">
        <v>146595.24</v>
      </c>
      <c r="K39" s="2">
        <v>93338.89</v>
      </c>
      <c r="L39" s="2"/>
      <c r="M39" s="2"/>
      <c r="N39" s="2"/>
    </row>
    <row r="40" spans="1:14" x14ac:dyDescent="0.3">
      <c r="A40" s="2" t="s">
        <v>308</v>
      </c>
      <c r="B40" s="2" t="s">
        <v>88</v>
      </c>
      <c r="C40" s="2" t="s">
        <v>207</v>
      </c>
      <c r="D40" s="2" t="s">
        <v>309</v>
      </c>
      <c r="E40" s="3">
        <v>46142</v>
      </c>
      <c r="F40" s="2">
        <v>121</v>
      </c>
      <c r="G40" s="3">
        <v>46263</v>
      </c>
      <c r="H40" s="2" t="s">
        <v>233</v>
      </c>
      <c r="I40" s="2">
        <v>144303.29999999999</v>
      </c>
      <c r="J40" s="2">
        <v>88554.66</v>
      </c>
      <c r="K40" s="2">
        <v>57221.82</v>
      </c>
      <c r="L40" s="2"/>
      <c r="M40" s="2"/>
      <c r="N40" s="2"/>
    </row>
    <row r="41" spans="1:14" x14ac:dyDescent="0.3">
      <c r="A41" s="2" t="s">
        <v>310</v>
      </c>
      <c r="B41" s="2" t="s">
        <v>27</v>
      </c>
      <c r="C41" s="2" t="s">
        <v>204</v>
      </c>
      <c r="D41" s="2" t="s">
        <v>311</v>
      </c>
      <c r="E41" s="3">
        <v>45797</v>
      </c>
      <c r="F41" s="2">
        <v>124</v>
      </c>
      <c r="G41" s="3">
        <v>45921</v>
      </c>
      <c r="H41" s="2" t="s">
        <v>233</v>
      </c>
      <c r="I41" s="2">
        <v>83608.36</v>
      </c>
      <c r="J41" s="2">
        <v>63529.279999999999</v>
      </c>
      <c r="K41" s="2">
        <v>28926.86</v>
      </c>
      <c r="L41" s="2"/>
      <c r="M41" s="2"/>
      <c r="N41" s="2"/>
    </row>
    <row r="42" spans="1:14" x14ac:dyDescent="0.3">
      <c r="A42" s="2" t="s">
        <v>312</v>
      </c>
      <c r="B42" s="2" t="s">
        <v>106</v>
      </c>
      <c r="C42" s="2" t="s">
        <v>196</v>
      </c>
      <c r="D42" s="2" t="s">
        <v>313</v>
      </c>
      <c r="E42" s="3">
        <v>45658</v>
      </c>
      <c r="F42" s="2">
        <v>101</v>
      </c>
      <c r="G42" s="3">
        <v>45759</v>
      </c>
      <c r="H42" s="2" t="s">
        <v>285</v>
      </c>
      <c r="I42" s="2">
        <v>145732.28</v>
      </c>
      <c r="J42" s="2">
        <v>104725.54</v>
      </c>
      <c r="K42" s="2">
        <v>27834.36</v>
      </c>
      <c r="L42" s="2"/>
      <c r="M42" s="2"/>
      <c r="N42" s="2"/>
    </row>
    <row r="43" spans="1:14" x14ac:dyDescent="0.3">
      <c r="A43" s="2" t="s">
        <v>314</v>
      </c>
      <c r="B43" s="2" t="s">
        <v>42</v>
      </c>
      <c r="C43" s="2" t="s">
        <v>198</v>
      </c>
      <c r="D43" s="2" t="s">
        <v>315</v>
      </c>
      <c r="E43" s="3">
        <v>45435</v>
      </c>
      <c r="F43" s="2">
        <v>68</v>
      </c>
      <c r="G43" s="3">
        <v>45503</v>
      </c>
      <c r="H43" s="2" t="s">
        <v>236</v>
      </c>
      <c r="I43" s="2">
        <v>182506.81</v>
      </c>
      <c r="J43" s="2">
        <v>130426.62</v>
      </c>
      <c r="K43" s="2">
        <v>118596.33</v>
      </c>
      <c r="L43" s="2">
        <v>82</v>
      </c>
      <c r="M43" s="3">
        <v>45517</v>
      </c>
      <c r="N43" s="2">
        <v>0</v>
      </c>
    </row>
    <row r="44" spans="1:14" x14ac:dyDescent="0.3">
      <c r="A44" s="2" t="s">
        <v>316</v>
      </c>
      <c r="B44" s="2" t="s">
        <v>133</v>
      </c>
      <c r="C44" s="2" t="s">
        <v>193</v>
      </c>
      <c r="D44" s="2" t="s">
        <v>317</v>
      </c>
      <c r="E44" s="3">
        <v>46176</v>
      </c>
      <c r="F44" s="2">
        <v>147</v>
      </c>
      <c r="G44" s="3">
        <v>46323</v>
      </c>
      <c r="H44" s="2" t="s">
        <v>236</v>
      </c>
      <c r="I44" s="2">
        <v>96411.24</v>
      </c>
      <c r="J44" s="2">
        <v>63942.239999999998</v>
      </c>
      <c r="K44" s="2">
        <v>72724.55</v>
      </c>
      <c r="L44" s="2">
        <v>133</v>
      </c>
      <c r="M44" s="3">
        <v>46309</v>
      </c>
      <c r="N44" s="2">
        <v>1</v>
      </c>
    </row>
    <row r="45" spans="1:14" x14ac:dyDescent="0.3">
      <c r="A45" s="2" t="s">
        <v>318</v>
      </c>
      <c r="B45" s="2" t="s">
        <v>169</v>
      </c>
      <c r="C45" s="2" t="s">
        <v>213</v>
      </c>
      <c r="D45" s="2" t="s">
        <v>319</v>
      </c>
      <c r="E45" s="3">
        <v>45360</v>
      </c>
      <c r="F45" s="2">
        <v>32</v>
      </c>
      <c r="G45" s="3">
        <v>45392</v>
      </c>
      <c r="H45" s="2" t="s">
        <v>233</v>
      </c>
      <c r="I45" s="2">
        <v>93587.22</v>
      </c>
      <c r="J45" s="2">
        <v>61058.19</v>
      </c>
      <c r="K45" s="2">
        <v>37087.279999999999</v>
      </c>
      <c r="L45" s="2"/>
      <c r="M45" s="2"/>
      <c r="N45" s="2"/>
    </row>
    <row r="46" spans="1:14" x14ac:dyDescent="0.3">
      <c r="A46" s="2" t="s">
        <v>320</v>
      </c>
      <c r="B46" s="2" t="s">
        <v>38</v>
      </c>
      <c r="C46" s="2" t="s">
        <v>198</v>
      </c>
      <c r="D46" s="2" t="s">
        <v>321</v>
      </c>
      <c r="E46" s="3">
        <v>45390</v>
      </c>
      <c r="F46" s="2">
        <v>152</v>
      </c>
      <c r="G46" s="3">
        <v>45542</v>
      </c>
      <c r="H46" s="2" t="s">
        <v>285</v>
      </c>
      <c r="I46" s="2">
        <v>175381.98</v>
      </c>
      <c r="J46" s="2">
        <v>103056.29</v>
      </c>
      <c r="K46" s="2">
        <v>40762.97</v>
      </c>
      <c r="L46" s="2"/>
      <c r="M46" s="2"/>
      <c r="N46" s="2"/>
    </row>
    <row r="47" spans="1:14" x14ac:dyDescent="0.3">
      <c r="A47" s="2" t="s">
        <v>322</v>
      </c>
      <c r="B47" s="2" t="s">
        <v>116</v>
      </c>
      <c r="C47" s="2" t="s">
        <v>198</v>
      </c>
      <c r="D47" s="2" t="s">
        <v>323</v>
      </c>
      <c r="E47" s="3">
        <v>45687</v>
      </c>
      <c r="F47" s="2">
        <v>79</v>
      </c>
      <c r="G47" s="3">
        <v>45766</v>
      </c>
      <c r="H47" s="2" t="s">
        <v>236</v>
      </c>
      <c r="I47" s="2">
        <v>86416.82</v>
      </c>
      <c r="J47" s="2">
        <v>66797.16</v>
      </c>
      <c r="K47" s="2">
        <v>71254.070000000007</v>
      </c>
      <c r="L47" s="2">
        <v>72</v>
      </c>
      <c r="M47" s="3">
        <v>45759</v>
      </c>
      <c r="N47" s="2">
        <v>1</v>
      </c>
    </row>
    <row r="48" spans="1:14" x14ac:dyDescent="0.3">
      <c r="A48" s="2" t="s">
        <v>324</v>
      </c>
      <c r="B48" s="2" t="s">
        <v>55</v>
      </c>
      <c r="C48" s="2" t="s">
        <v>201</v>
      </c>
      <c r="D48" s="2" t="s">
        <v>325</v>
      </c>
      <c r="E48" s="3">
        <v>45316</v>
      </c>
      <c r="F48" s="2">
        <v>41</v>
      </c>
      <c r="G48" s="3">
        <v>45357</v>
      </c>
      <c r="H48" s="2" t="s">
        <v>233</v>
      </c>
      <c r="I48" s="2">
        <v>223865.73</v>
      </c>
      <c r="J48" s="2">
        <v>129864.72</v>
      </c>
      <c r="K48" s="2">
        <v>108425.42</v>
      </c>
      <c r="L48" s="2"/>
      <c r="M48" s="2"/>
      <c r="N48" s="2"/>
    </row>
    <row r="49" spans="1:14" x14ac:dyDescent="0.3">
      <c r="A49" s="2" t="s">
        <v>326</v>
      </c>
      <c r="B49" s="2" t="s">
        <v>77</v>
      </c>
      <c r="C49" s="2" t="s">
        <v>204</v>
      </c>
      <c r="D49" s="2" t="s">
        <v>327</v>
      </c>
      <c r="E49" s="3">
        <v>46182</v>
      </c>
      <c r="F49" s="2">
        <v>83</v>
      </c>
      <c r="G49" s="3">
        <v>46265</v>
      </c>
      <c r="H49" s="2" t="s">
        <v>233</v>
      </c>
      <c r="I49" s="2">
        <v>59095.59</v>
      </c>
      <c r="J49" s="2">
        <v>38670.47</v>
      </c>
      <c r="K49" s="2">
        <v>18098.759999999998</v>
      </c>
      <c r="L49" s="2"/>
      <c r="M49" s="2"/>
      <c r="N49" s="2"/>
    </row>
    <row r="50" spans="1:14" x14ac:dyDescent="0.3">
      <c r="A50" s="2" t="s">
        <v>328</v>
      </c>
      <c r="B50" s="2" t="s">
        <v>151</v>
      </c>
      <c r="C50" s="2" t="s">
        <v>193</v>
      </c>
      <c r="D50" s="2" t="s">
        <v>329</v>
      </c>
      <c r="E50" s="3">
        <v>45760</v>
      </c>
      <c r="F50" s="2">
        <v>162</v>
      </c>
      <c r="G50" s="3">
        <v>45922</v>
      </c>
      <c r="H50" s="2" t="s">
        <v>236</v>
      </c>
      <c r="I50" s="2">
        <v>48515.88</v>
      </c>
      <c r="J50" s="2">
        <v>35932.959999999999</v>
      </c>
      <c r="K50" s="2">
        <v>33492.239999999998</v>
      </c>
      <c r="L50" s="2">
        <v>161</v>
      </c>
      <c r="M50" s="3">
        <v>45921</v>
      </c>
      <c r="N50" s="2">
        <v>1</v>
      </c>
    </row>
    <row r="51" spans="1:14" x14ac:dyDescent="0.3">
      <c r="A51" s="2" t="s">
        <v>330</v>
      </c>
      <c r="B51" s="2" t="s">
        <v>118</v>
      </c>
      <c r="C51" s="2" t="s">
        <v>198</v>
      </c>
      <c r="D51" s="2" t="s">
        <v>331</v>
      </c>
      <c r="E51" s="3">
        <v>45775</v>
      </c>
      <c r="F51" s="2">
        <v>86</v>
      </c>
      <c r="G51" s="3">
        <v>45861</v>
      </c>
      <c r="H51" s="2" t="s">
        <v>233</v>
      </c>
      <c r="I51" s="2">
        <v>147828.56</v>
      </c>
      <c r="J51" s="2">
        <v>102288.99</v>
      </c>
      <c r="K51" s="2">
        <v>71948.91</v>
      </c>
      <c r="L51" s="2"/>
      <c r="M51" s="2"/>
      <c r="N51" s="2"/>
    </row>
    <row r="52" spans="1:14" x14ac:dyDescent="0.3">
      <c r="A52" s="2" t="s">
        <v>332</v>
      </c>
      <c r="B52" s="2" t="s">
        <v>155</v>
      </c>
      <c r="C52" s="2" t="s">
        <v>193</v>
      </c>
      <c r="D52" s="2" t="s">
        <v>333</v>
      </c>
      <c r="E52" s="3">
        <v>45856</v>
      </c>
      <c r="F52" s="2">
        <v>174</v>
      </c>
      <c r="G52" s="3">
        <v>46030</v>
      </c>
      <c r="H52" s="2" t="s">
        <v>285</v>
      </c>
      <c r="I52" s="2">
        <v>83096.69</v>
      </c>
      <c r="J52" s="2">
        <v>46404.05</v>
      </c>
      <c r="K52" s="2">
        <v>26366.83</v>
      </c>
      <c r="L52" s="2"/>
      <c r="M52" s="2"/>
      <c r="N52" s="2"/>
    </row>
    <row r="53" spans="1:14" x14ac:dyDescent="0.3">
      <c r="A53" s="2" t="s">
        <v>334</v>
      </c>
      <c r="B53" s="2" t="s">
        <v>11</v>
      </c>
      <c r="C53" s="2" t="s">
        <v>196</v>
      </c>
      <c r="D53" s="2" t="s">
        <v>335</v>
      </c>
      <c r="E53" s="3">
        <v>45442</v>
      </c>
      <c r="F53" s="2">
        <v>141</v>
      </c>
      <c r="G53" s="3">
        <v>45583</v>
      </c>
      <c r="H53" s="2" t="s">
        <v>233</v>
      </c>
      <c r="I53" s="2">
        <v>101547.96</v>
      </c>
      <c r="J53" s="2">
        <v>71355.22</v>
      </c>
      <c r="K53" s="2">
        <v>41908.019999999997</v>
      </c>
      <c r="L53" s="2"/>
      <c r="M53" s="2"/>
      <c r="N53" s="2"/>
    </row>
    <row r="54" spans="1:14" x14ac:dyDescent="0.3">
      <c r="A54" s="2" t="s">
        <v>336</v>
      </c>
      <c r="B54" s="2" t="s">
        <v>135</v>
      </c>
      <c r="C54" s="2" t="s">
        <v>201</v>
      </c>
      <c r="D54" s="2" t="s">
        <v>337</v>
      </c>
      <c r="E54" s="3">
        <v>45435</v>
      </c>
      <c r="F54" s="2">
        <v>76</v>
      </c>
      <c r="G54" s="3">
        <v>45511</v>
      </c>
      <c r="H54" s="2" t="s">
        <v>233</v>
      </c>
      <c r="I54" s="2">
        <v>195124.64</v>
      </c>
      <c r="J54" s="2">
        <v>133588.48000000001</v>
      </c>
      <c r="K54" s="2">
        <v>104751.49</v>
      </c>
      <c r="L54" s="2"/>
      <c r="M54" s="2"/>
      <c r="N54" s="2"/>
    </row>
    <row r="55" spans="1:14" x14ac:dyDescent="0.3">
      <c r="A55" s="2" t="s">
        <v>338</v>
      </c>
      <c r="B55" s="2" t="s">
        <v>157</v>
      </c>
      <c r="C55" s="2" t="s">
        <v>196</v>
      </c>
      <c r="D55" s="2" t="s">
        <v>339</v>
      </c>
      <c r="E55" s="3">
        <v>45860</v>
      </c>
      <c r="F55" s="2">
        <v>180</v>
      </c>
      <c r="G55" s="3">
        <v>46040</v>
      </c>
      <c r="H55" s="2" t="s">
        <v>236</v>
      </c>
      <c r="I55" s="2">
        <v>120407.01</v>
      </c>
      <c r="J55" s="2">
        <v>71924.34</v>
      </c>
      <c r="K55" s="2">
        <v>67538.210000000006</v>
      </c>
      <c r="L55" s="2">
        <v>153</v>
      </c>
      <c r="M55" s="3">
        <v>46013</v>
      </c>
      <c r="N55" s="2">
        <v>1</v>
      </c>
    </row>
    <row r="56" spans="1:14" x14ac:dyDescent="0.3">
      <c r="A56" s="2" t="s">
        <v>340</v>
      </c>
      <c r="B56" s="2" t="s">
        <v>129</v>
      </c>
      <c r="C56" s="2" t="s">
        <v>193</v>
      </c>
      <c r="D56" s="2" t="s">
        <v>341</v>
      </c>
      <c r="E56" s="3">
        <v>45330</v>
      </c>
      <c r="F56" s="2">
        <v>114</v>
      </c>
      <c r="G56" s="3">
        <v>45444</v>
      </c>
      <c r="H56" s="2" t="s">
        <v>233</v>
      </c>
      <c r="I56" s="2">
        <v>90958.03</v>
      </c>
      <c r="J56" s="2">
        <v>69621.03</v>
      </c>
      <c r="K56" s="2">
        <v>25736.93</v>
      </c>
      <c r="L56" s="2"/>
      <c r="M56" s="2"/>
      <c r="N56" s="2"/>
    </row>
    <row r="57" spans="1:14" x14ac:dyDescent="0.3">
      <c r="A57" s="2" t="s">
        <v>342</v>
      </c>
      <c r="B57" s="2" t="s">
        <v>133</v>
      </c>
      <c r="C57" s="2" t="s">
        <v>210</v>
      </c>
      <c r="D57" s="2" t="s">
        <v>343</v>
      </c>
      <c r="E57" s="3">
        <v>45400</v>
      </c>
      <c r="F57" s="2">
        <v>171</v>
      </c>
      <c r="G57" s="3">
        <v>45571</v>
      </c>
      <c r="H57" s="2" t="s">
        <v>236</v>
      </c>
      <c r="I57" s="2">
        <v>135798.47</v>
      </c>
      <c r="J57" s="2">
        <v>78503.100000000006</v>
      </c>
      <c r="K57" s="2">
        <v>90920.62</v>
      </c>
      <c r="L57" s="2">
        <v>171</v>
      </c>
      <c r="M57" s="3">
        <v>45571</v>
      </c>
      <c r="N57" s="2">
        <v>1</v>
      </c>
    </row>
    <row r="58" spans="1:14" x14ac:dyDescent="0.3">
      <c r="A58" s="2" t="s">
        <v>344</v>
      </c>
      <c r="B58" s="2" t="s">
        <v>98</v>
      </c>
      <c r="C58" s="2" t="s">
        <v>213</v>
      </c>
      <c r="D58" s="2" t="s">
        <v>345</v>
      </c>
      <c r="E58" s="3">
        <v>45984</v>
      </c>
      <c r="F58" s="2">
        <v>95</v>
      </c>
      <c r="G58" s="3">
        <v>46079</v>
      </c>
      <c r="H58" s="2" t="s">
        <v>236</v>
      </c>
      <c r="I58" s="2">
        <v>101729.97</v>
      </c>
      <c r="J58" s="2">
        <v>56924.2</v>
      </c>
      <c r="K58" s="2">
        <v>66919.41</v>
      </c>
      <c r="L58" s="2">
        <v>82</v>
      </c>
      <c r="M58" s="3">
        <v>46066</v>
      </c>
      <c r="N58" s="2">
        <v>1</v>
      </c>
    </row>
    <row r="59" spans="1:14" x14ac:dyDescent="0.3">
      <c r="A59" s="2" t="s">
        <v>346</v>
      </c>
      <c r="B59" s="2" t="s">
        <v>77</v>
      </c>
      <c r="C59" s="2" t="s">
        <v>193</v>
      </c>
      <c r="D59" s="2" t="s">
        <v>347</v>
      </c>
      <c r="E59" s="3">
        <v>45333</v>
      </c>
      <c r="F59" s="2">
        <v>104</v>
      </c>
      <c r="G59" s="3">
        <v>45437</v>
      </c>
      <c r="H59" s="2" t="s">
        <v>233</v>
      </c>
      <c r="I59" s="2">
        <v>50435.63</v>
      </c>
      <c r="J59" s="2">
        <v>38935.160000000003</v>
      </c>
      <c r="K59" s="2">
        <v>13723.48</v>
      </c>
      <c r="L59" s="2"/>
      <c r="M59" s="2"/>
      <c r="N59" s="2"/>
    </row>
    <row r="60" spans="1:14" x14ac:dyDescent="0.3">
      <c r="A60" s="2" t="s">
        <v>348</v>
      </c>
      <c r="B60" s="2" t="s">
        <v>83</v>
      </c>
      <c r="C60" s="2" t="s">
        <v>204</v>
      </c>
      <c r="D60" s="2" t="s">
        <v>349</v>
      </c>
      <c r="E60" s="3">
        <v>45477</v>
      </c>
      <c r="F60" s="2">
        <v>132</v>
      </c>
      <c r="G60" s="3">
        <v>45609</v>
      </c>
      <c r="H60" s="2" t="s">
        <v>236</v>
      </c>
      <c r="I60" s="2">
        <v>72145.88</v>
      </c>
      <c r="J60" s="2">
        <v>54082.080000000002</v>
      </c>
      <c r="K60" s="2">
        <v>55171.65</v>
      </c>
      <c r="L60" s="2">
        <v>132</v>
      </c>
      <c r="M60" s="3">
        <v>45609</v>
      </c>
      <c r="N60" s="2">
        <v>1</v>
      </c>
    </row>
    <row r="61" spans="1:14" x14ac:dyDescent="0.3">
      <c r="A61" s="2" t="s">
        <v>350</v>
      </c>
      <c r="B61" s="2" t="s">
        <v>64</v>
      </c>
      <c r="C61" s="2" t="s">
        <v>198</v>
      </c>
      <c r="D61" s="2" t="s">
        <v>351</v>
      </c>
      <c r="E61" s="3">
        <v>45689</v>
      </c>
      <c r="F61" s="2">
        <v>67</v>
      </c>
      <c r="G61" s="3">
        <v>45756</v>
      </c>
      <c r="H61" s="2" t="s">
        <v>236</v>
      </c>
      <c r="I61" s="2">
        <v>153938.07</v>
      </c>
      <c r="J61" s="2">
        <v>101973.92</v>
      </c>
      <c r="K61" s="2">
        <v>91377.3</v>
      </c>
      <c r="L61" s="2">
        <v>73</v>
      </c>
      <c r="M61" s="3">
        <v>45762</v>
      </c>
      <c r="N61" s="2">
        <v>0</v>
      </c>
    </row>
    <row r="62" spans="1:14" x14ac:dyDescent="0.3">
      <c r="A62" s="2" t="s">
        <v>352</v>
      </c>
      <c r="B62" s="2" t="s">
        <v>40</v>
      </c>
      <c r="C62" s="2" t="s">
        <v>198</v>
      </c>
      <c r="D62" s="2" t="s">
        <v>353</v>
      </c>
      <c r="E62" s="3">
        <v>45514</v>
      </c>
      <c r="F62" s="2">
        <v>79</v>
      </c>
      <c r="G62" s="3">
        <v>45593</v>
      </c>
      <c r="H62" s="2" t="s">
        <v>233</v>
      </c>
      <c r="I62" s="2">
        <v>111095.19</v>
      </c>
      <c r="J62" s="2">
        <v>78309.83</v>
      </c>
      <c r="K62" s="2">
        <v>65385.26</v>
      </c>
      <c r="L62" s="2"/>
      <c r="M62" s="2"/>
      <c r="N62" s="2"/>
    </row>
    <row r="63" spans="1:14" x14ac:dyDescent="0.3">
      <c r="A63" s="2" t="s">
        <v>354</v>
      </c>
      <c r="B63" s="2" t="s">
        <v>106</v>
      </c>
      <c r="C63" s="2" t="s">
        <v>196</v>
      </c>
      <c r="D63" s="2" t="s">
        <v>355</v>
      </c>
      <c r="E63" s="3">
        <v>45925</v>
      </c>
      <c r="F63" s="2">
        <v>127</v>
      </c>
      <c r="G63" s="3">
        <v>46052</v>
      </c>
      <c r="H63" s="2" t="s">
        <v>236</v>
      </c>
      <c r="I63" s="2">
        <v>125591.29</v>
      </c>
      <c r="J63" s="2">
        <v>71787.62</v>
      </c>
      <c r="K63" s="2">
        <v>71531.89</v>
      </c>
      <c r="L63" s="2">
        <v>140</v>
      </c>
      <c r="M63" s="3">
        <v>46065</v>
      </c>
      <c r="N63" s="2">
        <v>0</v>
      </c>
    </row>
    <row r="64" spans="1:14" x14ac:dyDescent="0.3">
      <c r="A64" s="2" t="s">
        <v>356</v>
      </c>
      <c r="B64" s="2" t="s">
        <v>40</v>
      </c>
      <c r="C64" s="2" t="s">
        <v>213</v>
      </c>
      <c r="D64" s="2" t="s">
        <v>357</v>
      </c>
      <c r="E64" s="3">
        <v>45424</v>
      </c>
      <c r="F64" s="2">
        <v>111</v>
      </c>
      <c r="G64" s="3">
        <v>45535</v>
      </c>
      <c r="H64" s="2" t="s">
        <v>236</v>
      </c>
      <c r="I64" s="2">
        <v>95804.99</v>
      </c>
      <c r="J64" s="2">
        <v>67954.86</v>
      </c>
      <c r="K64" s="2">
        <v>78944.7</v>
      </c>
      <c r="L64" s="2">
        <v>130</v>
      </c>
      <c r="M64" s="3">
        <v>45554</v>
      </c>
      <c r="N64" s="2">
        <v>0</v>
      </c>
    </row>
    <row r="65" spans="1:14" x14ac:dyDescent="0.3">
      <c r="A65" s="2" t="s">
        <v>358</v>
      </c>
      <c r="B65" s="2" t="s">
        <v>98</v>
      </c>
      <c r="C65" s="2" t="s">
        <v>201</v>
      </c>
      <c r="D65" s="2" t="s">
        <v>359</v>
      </c>
      <c r="E65" s="3">
        <v>45454</v>
      </c>
      <c r="F65" s="2">
        <v>59</v>
      </c>
      <c r="G65" s="3">
        <v>45513</v>
      </c>
      <c r="H65" s="2" t="s">
        <v>233</v>
      </c>
      <c r="I65" s="2">
        <v>188610.34</v>
      </c>
      <c r="J65" s="2">
        <v>133375.25</v>
      </c>
      <c r="K65" s="2">
        <v>79836.740000000005</v>
      </c>
      <c r="L65" s="2"/>
      <c r="M65" s="2"/>
      <c r="N65" s="2"/>
    </row>
    <row r="66" spans="1:14" x14ac:dyDescent="0.3">
      <c r="A66" s="2" t="s">
        <v>360</v>
      </c>
      <c r="B66" s="2" t="s">
        <v>145</v>
      </c>
      <c r="C66" s="2" t="s">
        <v>210</v>
      </c>
      <c r="D66" s="2" t="s">
        <v>361</v>
      </c>
      <c r="E66" s="3">
        <v>45506</v>
      </c>
      <c r="F66" s="2">
        <v>108</v>
      </c>
      <c r="G66" s="3">
        <v>45614</v>
      </c>
      <c r="H66" s="2" t="s">
        <v>233</v>
      </c>
      <c r="I66" s="2">
        <v>193896.39</v>
      </c>
      <c r="J66" s="2">
        <v>132090.01999999999</v>
      </c>
      <c r="K66" s="2">
        <v>48238.42</v>
      </c>
      <c r="L66" s="2"/>
      <c r="M66" s="2"/>
      <c r="N66" s="2"/>
    </row>
    <row r="67" spans="1:14" x14ac:dyDescent="0.3">
      <c r="A67" s="2" t="s">
        <v>362</v>
      </c>
      <c r="B67" s="2" t="s">
        <v>104</v>
      </c>
      <c r="C67" s="2" t="s">
        <v>207</v>
      </c>
      <c r="D67" s="2" t="s">
        <v>363</v>
      </c>
      <c r="E67" s="3">
        <v>46024</v>
      </c>
      <c r="F67" s="2">
        <v>120</v>
      </c>
      <c r="G67" s="3">
        <v>46144</v>
      </c>
      <c r="H67" s="2" t="s">
        <v>236</v>
      </c>
      <c r="I67" s="2">
        <v>160151.48000000001</v>
      </c>
      <c r="J67" s="2">
        <v>122374.66</v>
      </c>
      <c r="K67" s="2">
        <v>131338.54</v>
      </c>
      <c r="L67" s="2">
        <v>133</v>
      </c>
      <c r="M67" s="3">
        <v>46157</v>
      </c>
      <c r="N67" s="2">
        <v>0</v>
      </c>
    </row>
    <row r="68" spans="1:14" x14ac:dyDescent="0.3">
      <c r="A68" s="2" t="s">
        <v>364</v>
      </c>
      <c r="B68" s="2" t="s">
        <v>135</v>
      </c>
      <c r="C68" s="2" t="s">
        <v>213</v>
      </c>
      <c r="D68" s="2" t="s">
        <v>365</v>
      </c>
      <c r="E68" s="3">
        <v>45526</v>
      </c>
      <c r="F68" s="2">
        <v>81</v>
      </c>
      <c r="G68" s="3">
        <v>45607</v>
      </c>
      <c r="H68" s="2" t="s">
        <v>285</v>
      </c>
      <c r="I68" s="2">
        <v>114052.06</v>
      </c>
      <c r="J68" s="2">
        <v>73060.479999999996</v>
      </c>
      <c r="K68" s="2">
        <v>38401.79</v>
      </c>
      <c r="L68" s="2"/>
      <c r="M68" s="2"/>
      <c r="N68" s="2"/>
    </row>
    <row r="69" spans="1:14" x14ac:dyDescent="0.3">
      <c r="A69" s="2" t="s">
        <v>366</v>
      </c>
      <c r="B69" s="2" t="s">
        <v>137</v>
      </c>
      <c r="C69" s="2" t="s">
        <v>198</v>
      </c>
      <c r="D69" s="2" t="s">
        <v>367</v>
      </c>
      <c r="E69" s="3">
        <v>46134</v>
      </c>
      <c r="F69" s="2">
        <v>108</v>
      </c>
      <c r="G69" s="3">
        <v>46242</v>
      </c>
      <c r="H69" s="2" t="s">
        <v>236</v>
      </c>
      <c r="I69" s="2">
        <v>104795.45</v>
      </c>
      <c r="J69" s="2">
        <v>60206.7</v>
      </c>
      <c r="K69" s="2">
        <v>71032.259999999995</v>
      </c>
      <c r="L69" s="2">
        <v>118</v>
      </c>
      <c r="M69" s="3">
        <v>46252</v>
      </c>
      <c r="N69" s="2">
        <v>0</v>
      </c>
    </row>
    <row r="70" spans="1:14" x14ac:dyDescent="0.3">
      <c r="A70" s="2" t="s">
        <v>368</v>
      </c>
      <c r="B70" s="2" t="s">
        <v>72</v>
      </c>
      <c r="C70" s="2" t="s">
        <v>204</v>
      </c>
      <c r="D70" s="2" t="s">
        <v>369</v>
      </c>
      <c r="E70" s="3">
        <v>45949</v>
      </c>
      <c r="F70" s="2">
        <v>59</v>
      </c>
      <c r="G70" s="3">
        <v>46008</v>
      </c>
      <c r="H70" s="2" t="s">
        <v>233</v>
      </c>
      <c r="I70" s="2">
        <v>85479.2</v>
      </c>
      <c r="J70" s="2">
        <v>62395.42</v>
      </c>
      <c r="K70" s="2">
        <v>39528.01</v>
      </c>
      <c r="L70" s="2"/>
      <c r="M70" s="2"/>
      <c r="N70" s="2"/>
    </row>
    <row r="71" spans="1:14" x14ac:dyDescent="0.3">
      <c r="A71" s="2" t="s">
        <v>370</v>
      </c>
      <c r="B71" s="2" t="s">
        <v>67</v>
      </c>
      <c r="C71" s="2" t="s">
        <v>213</v>
      </c>
      <c r="D71" s="2" t="s">
        <v>371</v>
      </c>
      <c r="E71" s="3">
        <v>46042</v>
      </c>
      <c r="F71" s="2">
        <v>135</v>
      </c>
      <c r="G71" s="3">
        <v>46177</v>
      </c>
      <c r="H71" s="2" t="s">
        <v>233</v>
      </c>
      <c r="I71" s="2">
        <v>94447.64</v>
      </c>
      <c r="J71" s="2">
        <v>67987.5</v>
      </c>
      <c r="K71" s="2">
        <v>53659.66</v>
      </c>
      <c r="L71" s="2"/>
      <c r="M71" s="2"/>
      <c r="N71" s="2"/>
    </row>
    <row r="72" spans="1:14" x14ac:dyDescent="0.3">
      <c r="A72" s="2" t="s">
        <v>372</v>
      </c>
      <c r="B72" s="2" t="s">
        <v>165</v>
      </c>
      <c r="C72" s="2" t="s">
        <v>196</v>
      </c>
      <c r="D72" s="2" t="s">
        <v>373</v>
      </c>
      <c r="E72" s="3">
        <v>45879</v>
      </c>
      <c r="F72" s="2">
        <v>80</v>
      </c>
      <c r="G72" s="3">
        <v>45959</v>
      </c>
      <c r="H72" s="2" t="s">
        <v>230</v>
      </c>
      <c r="I72" s="2">
        <v>69228.19</v>
      </c>
      <c r="J72" s="2">
        <v>48705.25</v>
      </c>
      <c r="K72" s="2">
        <v>21577.81</v>
      </c>
      <c r="L72" s="2">
        <v>40</v>
      </c>
      <c r="M72" s="3">
        <v>45919</v>
      </c>
      <c r="N72" s="2"/>
    </row>
    <row r="73" spans="1:14" x14ac:dyDescent="0.3">
      <c r="A73" s="2" t="s">
        <v>374</v>
      </c>
      <c r="B73" s="2" t="s">
        <v>139</v>
      </c>
      <c r="C73" s="2" t="s">
        <v>196</v>
      </c>
      <c r="D73" s="2" t="s">
        <v>375</v>
      </c>
      <c r="E73" s="3">
        <v>45300</v>
      </c>
      <c r="F73" s="2">
        <v>110</v>
      </c>
      <c r="G73" s="3">
        <v>45410</v>
      </c>
      <c r="H73" s="2" t="s">
        <v>233</v>
      </c>
      <c r="I73" s="2">
        <v>87403.92</v>
      </c>
      <c r="J73" s="2">
        <v>64110.53</v>
      </c>
      <c r="K73" s="2">
        <v>36401.42</v>
      </c>
      <c r="L73" s="2"/>
      <c r="M73" s="2"/>
      <c r="N73" s="2"/>
    </row>
    <row r="74" spans="1:14" x14ac:dyDescent="0.3">
      <c r="A74" s="2" t="s">
        <v>376</v>
      </c>
      <c r="B74" s="2" t="s">
        <v>92</v>
      </c>
      <c r="C74" s="2" t="s">
        <v>207</v>
      </c>
      <c r="D74" s="2" t="s">
        <v>377</v>
      </c>
      <c r="E74" s="3">
        <v>45365</v>
      </c>
      <c r="F74" s="2">
        <v>162</v>
      </c>
      <c r="G74" s="3">
        <v>45527</v>
      </c>
      <c r="H74" s="2" t="s">
        <v>233</v>
      </c>
      <c r="I74" s="2">
        <v>145048.17000000001</v>
      </c>
      <c r="J74" s="2">
        <v>97941.23</v>
      </c>
      <c r="K74" s="2">
        <v>34561.440000000002</v>
      </c>
      <c r="L74" s="2"/>
      <c r="M74" s="2"/>
      <c r="N74" s="2"/>
    </row>
    <row r="75" spans="1:14" x14ac:dyDescent="0.3">
      <c r="A75" s="2" t="s">
        <v>378</v>
      </c>
      <c r="B75" s="2" t="s">
        <v>98</v>
      </c>
      <c r="C75" s="2" t="s">
        <v>204</v>
      </c>
      <c r="D75" s="2" t="s">
        <v>379</v>
      </c>
      <c r="E75" s="3">
        <v>45783</v>
      </c>
      <c r="F75" s="2">
        <v>58</v>
      </c>
      <c r="G75" s="3">
        <v>45841</v>
      </c>
      <c r="H75" s="2" t="s">
        <v>233</v>
      </c>
      <c r="I75" s="2">
        <v>71933.88</v>
      </c>
      <c r="J75" s="2">
        <v>44933.84</v>
      </c>
      <c r="K75" s="2">
        <v>23960.1</v>
      </c>
      <c r="L75" s="2"/>
      <c r="M75" s="2"/>
      <c r="N75" s="2"/>
    </row>
    <row r="76" spans="1:14" x14ac:dyDescent="0.3">
      <c r="A76" s="2" t="s">
        <v>380</v>
      </c>
      <c r="B76" s="2" t="s">
        <v>62</v>
      </c>
      <c r="C76" s="2" t="s">
        <v>201</v>
      </c>
      <c r="D76" s="2" t="s">
        <v>381</v>
      </c>
      <c r="E76" s="3">
        <v>45544</v>
      </c>
      <c r="F76" s="2">
        <v>161</v>
      </c>
      <c r="G76" s="3">
        <v>45705</v>
      </c>
      <c r="H76" s="2" t="s">
        <v>236</v>
      </c>
      <c r="I76" s="2">
        <v>243142.39999999999</v>
      </c>
      <c r="J76" s="2">
        <v>155457.56</v>
      </c>
      <c r="K76" s="2">
        <v>144325.17000000001</v>
      </c>
      <c r="L76" s="2">
        <v>161</v>
      </c>
      <c r="M76" s="3">
        <v>45705</v>
      </c>
      <c r="N76" s="2">
        <v>1</v>
      </c>
    </row>
    <row r="77" spans="1:14" x14ac:dyDescent="0.3">
      <c r="A77" s="2" t="s">
        <v>382</v>
      </c>
      <c r="B77" s="2" t="s">
        <v>151</v>
      </c>
      <c r="C77" s="2" t="s">
        <v>213</v>
      </c>
      <c r="D77" s="2" t="s">
        <v>383</v>
      </c>
      <c r="E77" s="3">
        <v>45521</v>
      </c>
      <c r="F77" s="2">
        <v>167</v>
      </c>
      <c r="G77" s="3">
        <v>45688</v>
      </c>
      <c r="H77" s="2" t="s">
        <v>236</v>
      </c>
      <c r="I77" s="2">
        <v>81366.850000000006</v>
      </c>
      <c r="J77" s="2">
        <v>51736.94</v>
      </c>
      <c r="K77" s="2">
        <v>45226.09</v>
      </c>
      <c r="L77" s="2">
        <v>150</v>
      </c>
      <c r="M77" s="3">
        <v>45671</v>
      </c>
      <c r="N77" s="2">
        <v>1</v>
      </c>
    </row>
    <row r="78" spans="1:14" x14ac:dyDescent="0.3">
      <c r="A78" s="2" t="s">
        <v>384</v>
      </c>
      <c r="B78" s="2" t="s">
        <v>173</v>
      </c>
      <c r="C78" s="2" t="s">
        <v>204</v>
      </c>
      <c r="D78" s="2" t="s">
        <v>385</v>
      </c>
      <c r="E78" s="3">
        <v>45810</v>
      </c>
      <c r="F78" s="2">
        <v>174</v>
      </c>
      <c r="G78" s="3">
        <v>45984</v>
      </c>
      <c r="H78" s="2" t="s">
        <v>233</v>
      </c>
      <c r="I78" s="2">
        <v>95287.03</v>
      </c>
      <c r="J78" s="2">
        <v>65984.63</v>
      </c>
      <c r="K78" s="2">
        <v>38386.36</v>
      </c>
      <c r="L78" s="2"/>
      <c r="M78" s="2"/>
      <c r="N78" s="2"/>
    </row>
    <row r="79" spans="1:14" x14ac:dyDescent="0.3">
      <c r="A79" s="2" t="s">
        <v>386</v>
      </c>
      <c r="B79" s="2" t="s">
        <v>77</v>
      </c>
      <c r="C79" s="2" t="s">
        <v>201</v>
      </c>
      <c r="D79" s="2" t="s">
        <v>387</v>
      </c>
      <c r="E79" s="3">
        <v>45465</v>
      </c>
      <c r="F79" s="2">
        <v>103</v>
      </c>
      <c r="G79" s="3">
        <v>45568</v>
      </c>
      <c r="H79" s="2" t="s">
        <v>236</v>
      </c>
      <c r="I79" s="2">
        <v>219988.76</v>
      </c>
      <c r="J79" s="2">
        <v>140209.99</v>
      </c>
      <c r="K79" s="2">
        <v>143196.04999999999</v>
      </c>
      <c r="L79" s="2">
        <v>122</v>
      </c>
      <c r="M79" s="3">
        <v>45587</v>
      </c>
      <c r="N79" s="2">
        <v>0</v>
      </c>
    </row>
    <row r="80" spans="1:14" x14ac:dyDescent="0.3">
      <c r="A80" s="2" t="s">
        <v>388</v>
      </c>
      <c r="B80" s="2" t="s">
        <v>159</v>
      </c>
      <c r="C80" s="2" t="s">
        <v>204</v>
      </c>
      <c r="D80" s="2" t="s">
        <v>389</v>
      </c>
      <c r="E80" s="3">
        <v>45944</v>
      </c>
      <c r="F80" s="2">
        <v>46</v>
      </c>
      <c r="G80" s="3">
        <v>45990</v>
      </c>
      <c r="H80" s="2" t="s">
        <v>233</v>
      </c>
      <c r="I80" s="2">
        <v>63004.639999999999</v>
      </c>
      <c r="J80" s="2">
        <v>39597.599999999999</v>
      </c>
      <c r="K80" s="2">
        <v>21386.57</v>
      </c>
      <c r="L80" s="2"/>
      <c r="M80" s="2"/>
      <c r="N80" s="2"/>
    </row>
    <row r="81" spans="1:14" x14ac:dyDescent="0.3">
      <c r="A81" s="2" t="s">
        <v>390</v>
      </c>
      <c r="B81" s="2" t="s">
        <v>173</v>
      </c>
      <c r="C81" s="2" t="s">
        <v>204</v>
      </c>
      <c r="D81" s="2" t="s">
        <v>391</v>
      </c>
      <c r="E81" s="3">
        <v>45459</v>
      </c>
      <c r="F81" s="2">
        <v>113</v>
      </c>
      <c r="G81" s="3">
        <v>45572</v>
      </c>
      <c r="H81" s="2" t="s">
        <v>236</v>
      </c>
      <c r="I81" s="2">
        <v>69692.990000000005</v>
      </c>
      <c r="J81" s="2">
        <v>44724.03</v>
      </c>
      <c r="K81" s="2">
        <v>45890.83</v>
      </c>
      <c r="L81" s="2">
        <v>119</v>
      </c>
      <c r="M81" s="3">
        <v>45578</v>
      </c>
      <c r="N81" s="2">
        <v>0</v>
      </c>
    </row>
    <row r="82" spans="1:14" x14ac:dyDescent="0.3">
      <c r="A82" s="2" t="s">
        <v>392</v>
      </c>
      <c r="B82" s="2" t="s">
        <v>173</v>
      </c>
      <c r="C82" s="2" t="s">
        <v>193</v>
      </c>
      <c r="D82" s="2" t="s">
        <v>393</v>
      </c>
      <c r="E82" s="3">
        <v>45461</v>
      </c>
      <c r="F82" s="2">
        <v>98</v>
      </c>
      <c r="G82" s="3">
        <v>45559</v>
      </c>
      <c r="H82" s="2" t="s">
        <v>233</v>
      </c>
      <c r="I82" s="2">
        <v>117408.6</v>
      </c>
      <c r="J82" s="2">
        <v>86528.58</v>
      </c>
      <c r="K82" s="2">
        <v>61354.09</v>
      </c>
      <c r="L82" s="2"/>
      <c r="M82" s="2"/>
      <c r="N82" s="2"/>
    </row>
    <row r="83" spans="1:14" x14ac:dyDescent="0.3">
      <c r="A83" s="2" t="s">
        <v>394</v>
      </c>
      <c r="B83" s="2" t="s">
        <v>106</v>
      </c>
      <c r="C83" s="2" t="s">
        <v>196</v>
      </c>
      <c r="D83" s="2" t="s">
        <v>395</v>
      </c>
      <c r="E83" s="3">
        <v>45684</v>
      </c>
      <c r="F83" s="2">
        <v>63</v>
      </c>
      <c r="G83" s="3">
        <v>45747</v>
      </c>
      <c r="H83" s="2" t="s">
        <v>236</v>
      </c>
      <c r="I83" s="2">
        <v>123646.6</v>
      </c>
      <c r="J83" s="2">
        <v>95179.5</v>
      </c>
      <c r="K83" s="2">
        <v>87051.81</v>
      </c>
      <c r="L83" s="2">
        <v>50</v>
      </c>
      <c r="M83" s="3">
        <v>45734</v>
      </c>
      <c r="N83" s="2">
        <v>1</v>
      </c>
    </row>
    <row r="84" spans="1:14" x14ac:dyDescent="0.3">
      <c r="A84" s="2" t="s">
        <v>396</v>
      </c>
      <c r="B84" s="2" t="s">
        <v>55</v>
      </c>
      <c r="C84" s="2" t="s">
        <v>213</v>
      </c>
      <c r="D84" s="2" t="s">
        <v>397</v>
      </c>
      <c r="E84" s="3">
        <v>46086</v>
      </c>
      <c r="F84" s="2">
        <v>35</v>
      </c>
      <c r="G84" s="3">
        <v>46121</v>
      </c>
      <c r="H84" s="2" t="s">
        <v>236</v>
      </c>
      <c r="I84" s="2">
        <v>94440.91</v>
      </c>
      <c r="J84" s="2">
        <v>72079</v>
      </c>
      <c r="K84" s="2">
        <v>83493.710000000006</v>
      </c>
      <c r="L84" s="2">
        <v>28</v>
      </c>
      <c r="M84" s="3">
        <v>46114</v>
      </c>
      <c r="N84" s="2">
        <v>1</v>
      </c>
    </row>
    <row r="85" spans="1:14" x14ac:dyDescent="0.3">
      <c r="A85" s="2" t="s">
        <v>398</v>
      </c>
      <c r="B85" s="2" t="s">
        <v>6</v>
      </c>
      <c r="C85" s="2" t="s">
        <v>204</v>
      </c>
      <c r="D85" s="2" t="s">
        <v>399</v>
      </c>
      <c r="E85" s="3">
        <v>45925</v>
      </c>
      <c r="F85" s="2">
        <v>82</v>
      </c>
      <c r="G85" s="3">
        <v>46007</v>
      </c>
      <c r="H85" s="2" t="s">
        <v>233</v>
      </c>
      <c r="I85" s="2">
        <v>76038.100000000006</v>
      </c>
      <c r="J85" s="2">
        <v>47970.400000000001</v>
      </c>
      <c r="K85" s="2">
        <v>19222.240000000002</v>
      </c>
      <c r="L85" s="2"/>
      <c r="M85" s="2"/>
      <c r="N85" s="2"/>
    </row>
    <row r="86" spans="1:14" x14ac:dyDescent="0.3">
      <c r="A86" s="2" t="s">
        <v>400</v>
      </c>
      <c r="B86" s="2" t="s">
        <v>149</v>
      </c>
      <c r="C86" s="2" t="s">
        <v>213</v>
      </c>
      <c r="D86" s="2" t="s">
        <v>401</v>
      </c>
      <c r="E86" s="3">
        <v>45485</v>
      </c>
      <c r="F86" s="2">
        <v>155</v>
      </c>
      <c r="G86" s="3">
        <v>45640</v>
      </c>
      <c r="H86" s="2" t="s">
        <v>236</v>
      </c>
      <c r="I86" s="2">
        <v>62754.95</v>
      </c>
      <c r="J86" s="2">
        <v>38626.980000000003</v>
      </c>
      <c r="K86" s="2">
        <v>43069.02</v>
      </c>
      <c r="L86" s="2">
        <v>145</v>
      </c>
      <c r="M86" s="3">
        <v>45630</v>
      </c>
      <c r="N86" s="2">
        <v>1</v>
      </c>
    </row>
    <row r="87" spans="1:14" x14ac:dyDescent="0.3">
      <c r="A87" s="2" t="s">
        <v>402</v>
      </c>
      <c r="B87" s="2" t="s">
        <v>112</v>
      </c>
      <c r="C87" s="2" t="s">
        <v>207</v>
      </c>
      <c r="D87" s="2" t="s">
        <v>403</v>
      </c>
      <c r="E87" s="3">
        <v>45808</v>
      </c>
      <c r="F87" s="2">
        <v>72</v>
      </c>
      <c r="G87" s="3">
        <v>45880</v>
      </c>
      <c r="H87" s="2" t="s">
        <v>233</v>
      </c>
      <c r="I87" s="2">
        <v>146754.79</v>
      </c>
      <c r="J87" s="2">
        <v>98913.77</v>
      </c>
      <c r="K87" s="2">
        <v>50016.13</v>
      </c>
      <c r="L87" s="2"/>
      <c r="M87" s="2"/>
      <c r="N87" s="2"/>
    </row>
    <row r="88" spans="1:14" x14ac:dyDescent="0.3">
      <c r="A88" s="2" t="s">
        <v>404</v>
      </c>
      <c r="B88" s="2" t="s">
        <v>110</v>
      </c>
      <c r="C88" s="2" t="s">
        <v>204</v>
      </c>
      <c r="D88" s="2" t="s">
        <v>405</v>
      </c>
      <c r="E88" s="3">
        <v>45320</v>
      </c>
      <c r="F88" s="2">
        <v>144</v>
      </c>
      <c r="G88" s="3">
        <v>45464</v>
      </c>
      <c r="H88" s="2" t="s">
        <v>236</v>
      </c>
      <c r="I88" s="2">
        <v>93323.57</v>
      </c>
      <c r="J88" s="2">
        <v>57179.68</v>
      </c>
      <c r="K88" s="2">
        <v>50902.63</v>
      </c>
      <c r="L88" s="2">
        <v>141</v>
      </c>
      <c r="M88" s="3">
        <v>45461</v>
      </c>
      <c r="N88" s="2">
        <v>1</v>
      </c>
    </row>
    <row r="89" spans="1:14" x14ac:dyDescent="0.3">
      <c r="A89" s="2" t="s">
        <v>406</v>
      </c>
      <c r="B89" s="2" t="s">
        <v>74</v>
      </c>
      <c r="C89" s="2" t="s">
        <v>198</v>
      </c>
      <c r="D89" s="2" t="s">
        <v>407</v>
      </c>
      <c r="E89" s="3">
        <v>45456</v>
      </c>
      <c r="F89" s="2">
        <v>140</v>
      </c>
      <c r="G89" s="3">
        <v>45596</v>
      </c>
      <c r="H89" s="2" t="s">
        <v>236</v>
      </c>
      <c r="I89" s="2">
        <v>163810.96</v>
      </c>
      <c r="J89" s="2">
        <v>96921.11</v>
      </c>
      <c r="K89" s="2">
        <v>88186.06</v>
      </c>
      <c r="L89" s="2">
        <v>154</v>
      </c>
      <c r="M89" s="3">
        <v>45610</v>
      </c>
      <c r="N89" s="2">
        <v>0</v>
      </c>
    </row>
    <row r="90" spans="1:14" x14ac:dyDescent="0.3">
      <c r="A90" s="2" t="s">
        <v>408</v>
      </c>
      <c r="B90" s="2" t="s">
        <v>104</v>
      </c>
      <c r="C90" s="2" t="s">
        <v>196</v>
      </c>
      <c r="D90" s="2" t="s">
        <v>409</v>
      </c>
      <c r="E90" s="3">
        <v>45713</v>
      </c>
      <c r="F90" s="2">
        <v>180</v>
      </c>
      <c r="G90" s="3">
        <v>45893</v>
      </c>
      <c r="H90" s="2" t="s">
        <v>233</v>
      </c>
      <c r="I90" s="2">
        <v>154688.35999999999</v>
      </c>
      <c r="J90" s="2">
        <v>88881.1</v>
      </c>
      <c r="K90" s="2">
        <v>56320.05</v>
      </c>
      <c r="L90" s="2"/>
      <c r="M90" s="2"/>
      <c r="N90" s="2"/>
    </row>
    <row r="91" spans="1:14" x14ac:dyDescent="0.3">
      <c r="A91" s="2" t="s">
        <v>410</v>
      </c>
      <c r="B91" s="2" t="s">
        <v>96</v>
      </c>
      <c r="C91" s="2" t="s">
        <v>198</v>
      </c>
      <c r="D91" s="2" t="s">
        <v>411</v>
      </c>
      <c r="E91" s="3">
        <v>45630</v>
      </c>
      <c r="F91" s="2">
        <v>109</v>
      </c>
      <c r="G91" s="3">
        <v>45739</v>
      </c>
      <c r="H91" s="2" t="s">
        <v>236</v>
      </c>
      <c r="I91" s="2">
        <v>146846.31</v>
      </c>
      <c r="J91" s="2">
        <v>89430.79</v>
      </c>
      <c r="K91" s="2">
        <v>90286.65</v>
      </c>
      <c r="L91" s="2">
        <v>134</v>
      </c>
      <c r="M91" s="3">
        <v>45764</v>
      </c>
      <c r="N91" s="2">
        <v>0</v>
      </c>
    </row>
    <row r="92" spans="1:14" x14ac:dyDescent="0.3">
      <c r="A92" s="2" t="s">
        <v>412</v>
      </c>
      <c r="B92" s="2" t="s">
        <v>16</v>
      </c>
      <c r="C92" s="2" t="s">
        <v>213</v>
      </c>
      <c r="D92" s="2" t="s">
        <v>413</v>
      </c>
      <c r="E92" s="3">
        <v>45939</v>
      </c>
      <c r="F92" s="2">
        <v>124</v>
      </c>
      <c r="G92" s="3">
        <v>46063</v>
      </c>
      <c r="H92" s="2" t="s">
        <v>233</v>
      </c>
      <c r="I92" s="2">
        <v>104926.11</v>
      </c>
      <c r="J92" s="2">
        <v>58757.04</v>
      </c>
      <c r="K92" s="2">
        <v>39166.01</v>
      </c>
      <c r="L92" s="2"/>
      <c r="M92" s="2"/>
      <c r="N92" s="2"/>
    </row>
    <row r="93" spans="1:14" x14ac:dyDescent="0.3">
      <c r="A93" s="2" t="s">
        <v>414</v>
      </c>
      <c r="B93" s="2" t="s">
        <v>114</v>
      </c>
      <c r="C93" s="2" t="s">
        <v>213</v>
      </c>
      <c r="D93" s="2" t="s">
        <v>415</v>
      </c>
      <c r="E93" s="3">
        <v>45787</v>
      </c>
      <c r="F93" s="2">
        <v>147</v>
      </c>
      <c r="G93" s="3">
        <v>45934</v>
      </c>
      <c r="H93" s="2" t="s">
        <v>233</v>
      </c>
      <c r="I93" s="2">
        <v>130011.09</v>
      </c>
      <c r="J93" s="2">
        <v>99955.49</v>
      </c>
      <c r="K93" s="2">
        <v>65051.62</v>
      </c>
      <c r="L93" s="2"/>
      <c r="M93" s="2"/>
      <c r="N93" s="2"/>
    </row>
    <row r="94" spans="1:14" x14ac:dyDescent="0.3">
      <c r="A94" s="2" t="s">
        <v>416</v>
      </c>
      <c r="B94" s="2" t="s">
        <v>129</v>
      </c>
      <c r="C94" s="2" t="s">
        <v>196</v>
      </c>
      <c r="D94" s="2" t="s">
        <v>417</v>
      </c>
      <c r="E94" s="3">
        <v>45656</v>
      </c>
      <c r="F94" s="2">
        <v>173</v>
      </c>
      <c r="G94" s="3">
        <v>45829</v>
      </c>
      <c r="H94" s="2" t="s">
        <v>233</v>
      </c>
      <c r="I94" s="2">
        <v>111182.41</v>
      </c>
      <c r="J94" s="2">
        <v>66982.77</v>
      </c>
      <c r="K94" s="2">
        <v>30545.65</v>
      </c>
      <c r="L94" s="2"/>
      <c r="M94" s="2"/>
      <c r="N94" s="2"/>
    </row>
    <row r="95" spans="1:14" x14ac:dyDescent="0.3">
      <c r="A95" s="2" t="s">
        <v>418</v>
      </c>
      <c r="B95" s="2" t="s">
        <v>42</v>
      </c>
      <c r="C95" s="2" t="s">
        <v>213</v>
      </c>
      <c r="D95" s="2" t="s">
        <v>419</v>
      </c>
      <c r="E95" s="3">
        <v>46124</v>
      </c>
      <c r="F95" s="2">
        <v>37</v>
      </c>
      <c r="G95" s="3">
        <v>46161</v>
      </c>
      <c r="H95" s="2" t="s">
        <v>233</v>
      </c>
      <c r="I95" s="2">
        <v>100893.02</v>
      </c>
      <c r="J95" s="2">
        <v>69669.210000000006</v>
      </c>
      <c r="K95" s="2">
        <v>38702.239999999998</v>
      </c>
      <c r="L95" s="2"/>
      <c r="M95" s="2"/>
      <c r="N95" s="2"/>
    </row>
    <row r="96" spans="1:14" x14ac:dyDescent="0.3">
      <c r="A96" s="2" t="s">
        <v>420</v>
      </c>
      <c r="B96" s="2" t="s">
        <v>60</v>
      </c>
      <c r="C96" s="2" t="s">
        <v>198</v>
      </c>
      <c r="D96" s="2" t="s">
        <v>421</v>
      </c>
      <c r="E96" s="3">
        <v>45633</v>
      </c>
      <c r="F96" s="2">
        <v>161</v>
      </c>
      <c r="G96" s="3">
        <v>45794</v>
      </c>
      <c r="H96" s="2" t="s">
        <v>285</v>
      </c>
      <c r="I96" s="2">
        <v>101689.01</v>
      </c>
      <c r="J96" s="2">
        <v>74184.259999999995</v>
      </c>
      <c r="K96" s="2">
        <v>25029.99</v>
      </c>
      <c r="L96" s="2"/>
      <c r="M96" s="2"/>
      <c r="N96" s="2"/>
    </row>
    <row r="97" spans="1:14" x14ac:dyDescent="0.3">
      <c r="A97" s="2" t="s">
        <v>422</v>
      </c>
      <c r="B97" s="2" t="s">
        <v>114</v>
      </c>
      <c r="C97" s="2" t="s">
        <v>204</v>
      </c>
      <c r="D97" s="2" t="s">
        <v>423</v>
      </c>
      <c r="E97" s="3">
        <v>45791</v>
      </c>
      <c r="F97" s="2">
        <v>133</v>
      </c>
      <c r="G97" s="3">
        <v>45924</v>
      </c>
      <c r="H97" s="2" t="s">
        <v>230</v>
      </c>
      <c r="I97" s="2">
        <v>59329.26</v>
      </c>
      <c r="J97" s="2">
        <v>43856.27</v>
      </c>
      <c r="K97" s="2">
        <v>17559.939999999999</v>
      </c>
      <c r="L97" s="2">
        <v>41</v>
      </c>
      <c r="M97" s="3">
        <v>45832</v>
      </c>
      <c r="N97" s="2"/>
    </row>
    <row r="98" spans="1:14" x14ac:dyDescent="0.3">
      <c r="A98" s="2" t="s">
        <v>424</v>
      </c>
      <c r="B98" s="2" t="s">
        <v>145</v>
      </c>
      <c r="C98" s="2" t="s">
        <v>204</v>
      </c>
      <c r="D98" s="2" t="s">
        <v>425</v>
      </c>
      <c r="E98" s="3">
        <v>45948</v>
      </c>
      <c r="F98" s="2">
        <v>161</v>
      </c>
      <c r="G98" s="3">
        <v>46109</v>
      </c>
      <c r="H98" s="2" t="s">
        <v>236</v>
      </c>
      <c r="I98" s="2">
        <v>73687.95</v>
      </c>
      <c r="J98" s="2">
        <v>48185.04</v>
      </c>
      <c r="K98" s="2">
        <v>43628.89</v>
      </c>
      <c r="L98" s="2">
        <v>171</v>
      </c>
      <c r="M98" s="3">
        <v>46119</v>
      </c>
      <c r="N98" s="2">
        <v>0</v>
      </c>
    </row>
    <row r="99" spans="1:14" x14ac:dyDescent="0.3">
      <c r="A99" s="2" t="s">
        <v>426</v>
      </c>
      <c r="B99" s="2" t="s">
        <v>125</v>
      </c>
      <c r="C99" s="2" t="s">
        <v>193</v>
      </c>
      <c r="D99" s="2" t="s">
        <v>427</v>
      </c>
      <c r="E99" s="3">
        <v>45802</v>
      </c>
      <c r="F99" s="2">
        <v>54</v>
      </c>
      <c r="G99" s="3">
        <v>45856</v>
      </c>
      <c r="H99" s="2" t="s">
        <v>236</v>
      </c>
      <c r="I99" s="2">
        <v>74516.05</v>
      </c>
      <c r="J99" s="2">
        <v>53612.88</v>
      </c>
      <c r="K99" s="2">
        <v>49405.56</v>
      </c>
      <c r="L99" s="2">
        <v>64</v>
      </c>
      <c r="M99" s="3">
        <v>45866</v>
      </c>
      <c r="N99" s="2">
        <v>0</v>
      </c>
    </row>
    <row r="100" spans="1:14" x14ac:dyDescent="0.3">
      <c r="A100" s="2" t="s">
        <v>428</v>
      </c>
      <c r="B100" s="2" t="s">
        <v>149</v>
      </c>
      <c r="C100" s="2" t="s">
        <v>207</v>
      </c>
      <c r="D100" s="2" t="s">
        <v>429</v>
      </c>
      <c r="E100" s="3">
        <v>45618</v>
      </c>
      <c r="F100" s="2">
        <v>125</v>
      </c>
      <c r="G100" s="3">
        <v>45743</v>
      </c>
      <c r="H100" s="2" t="s">
        <v>236</v>
      </c>
      <c r="I100" s="2">
        <v>190411.29</v>
      </c>
      <c r="J100" s="2">
        <v>128668.6</v>
      </c>
      <c r="K100" s="2">
        <v>125966.43</v>
      </c>
      <c r="L100" s="2">
        <v>113</v>
      </c>
      <c r="M100" s="3">
        <v>45731</v>
      </c>
      <c r="N100" s="2">
        <v>1</v>
      </c>
    </row>
    <row r="101" spans="1:14" x14ac:dyDescent="0.3">
      <c r="A101" s="2" t="s">
        <v>430</v>
      </c>
      <c r="B101" s="2" t="s">
        <v>55</v>
      </c>
      <c r="C101" s="2" t="s">
        <v>213</v>
      </c>
      <c r="D101" s="2" t="s">
        <v>431</v>
      </c>
      <c r="E101" s="3">
        <v>45508</v>
      </c>
      <c r="F101" s="2">
        <v>122</v>
      </c>
      <c r="G101" s="3">
        <v>45630</v>
      </c>
      <c r="H101" s="2" t="s">
        <v>236</v>
      </c>
      <c r="I101" s="2">
        <v>135714.72</v>
      </c>
      <c r="J101" s="2">
        <v>93199.31</v>
      </c>
      <c r="K101" s="2">
        <v>109599.52</v>
      </c>
      <c r="L101" s="2">
        <v>124</v>
      </c>
      <c r="M101" s="3">
        <v>45632</v>
      </c>
      <c r="N101" s="2">
        <v>0</v>
      </c>
    </row>
    <row r="102" spans="1:14" x14ac:dyDescent="0.3">
      <c r="A102" s="2" t="s">
        <v>432</v>
      </c>
      <c r="B102" s="2" t="s">
        <v>175</v>
      </c>
      <c r="C102" s="2" t="s">
        <v>198</v>
      </c>
      <c r="D102" s="2" t="s">
        <v>433</v>
      </c>
      <c r="E102" s="3">
        <v>45592</v>
      </c>
      <c r="F102" s="2">
        <v>90</v>
      </c>
      <c r="G102" s="3">
        <v>45682</v>
      </c>
      <c r="H102" s="2" t="s">
        <v>233</v>
      </c>
      <c r="I102" s="2">
        <v>152767.89000000001</v>
      </c>
      <c r="J102" s="2">
        <v>98228.73</v>
      </c>
      <c r="K102" s="2">
        <v>55410.81</v>
      </c>
      <c r="L102" s="2"/>
      <c r="M102" s="2"/>
      <c r="N102" s="2"/>
    </row>
    <row r="103" spans="1:14" x14ac:dyDescent="0.3">
      <c r="A103" s="2" t="s">
        <v>434</v>
      </c>
      <c r="B103" s="2" t="s">
        <v>141</v>
      </c>
      <c r="C103" s="2" t="s">
        <v>213</v>
      </c>
      <c r="D103" s="2" t="s">
        <v>435</v>
      </c>
      <c r="E103" s="3">
        <v>45423</v>
      </c>
      <c r="F103" s="2">
        <v>151</v>
      </c>
      <c r="G103" s="3">
        <v>45574</v>
      </c>
      <c r="H103" s="2" t="s">
        <v>285</v>
      </c>
      <c r="I103" s="2">
        <v>83009.31</v>
      </c>
      <c r="J103" s="2">
        <v>59355.6</v>
      </c>
      <c r="K103" s="2">
        <v>32421.1</v>
      </c>
      <c r="L103" s="2"/>
      <c r="M103" s="2"/>
      <c r="N103" s="2"/>
    </row>
    <row r="104" spans="1:14" x14ac:dyDescent="0.3">
      <c r="A104" s="2" t="s">
        <v>436</v>
      </c>
      <c r="B104" s="2" t="s">
        <v>137</v>
      </c>
      <c r="C104" s="2" t="s">
        <v>213</v>
      </c>
      <c r="D104" s="2" t="s">
        <v>437</v>
      </c>
      <c r="E104" s="3">
        <v>46095</v>
      </c>
      <c r="F104" s="2">
        <v>80</v>
      </c>
      <c r="G104" s="3">
        <v>46175</v>
      </c>
      <c r="H104" s="2" t="s">
        <v>236</v>
      </c>
      <c r="I104" s="2">
        <v>106659.08</v>
      </c>
      <c r="J104" s="2">
        <v>72851.240000000005</v>
      </c>
      <c r="K104" s="2">
        <v>63832.87</v>
      </c>
      <c r="L104" s="2">
        <v>73</v>
      </c>
      <c r="M104" s="3">
        <v>46168</v>
      </c>
      <c r="N104" s="2">
        <v>1</v>
      </c>
    </row>
    <row r="105" spans="1:14" x14ac:dyDescent="0.3">
      <c r="A105" s="2" t="s">
        <v>438</v>
      </c>
      <c r="B105" s="2" t="s">
        <v>121</v>
      </c>
      <c r="C105" s="2" t="s">
        <v>201</v>
      </c>
      <c r="D105" s="2" t="s">
        <v>439</v>
      </c>
      <c r="E105" s="3">
        <v>45361</v>
      </c>
      <c r="F105" s="2">
        <v>176</v>
      </c>
      <c r="G105" s="3">
        <v>45537</v>
      </c>
      <c r="H105" s="2" t="s">
        <v>236</v>
      </c>
      <c r="I105" s="2">
        <v>158847.73000000001</v>
      </c>
      <c r="J105" s="2">
        <v>90495.77</v>
      </c>
      <c r="K105" s="2">
        <v>82651.259999999995</v>
      </c>
      <c r="L105" s="2">
        <v>211</v>
      </c>
      <c r="M105" s="3">
        <v>45572</v>
      </c>
      <c r="N105" s="2">
        <v>0</v>
      </c>
    </row>
    <row r="106" spans="1:14" x14ac:dyDescent="0.3">
      <c r="A106" s="2" t="s">
        <v>440</v>
      </c>
      <c r="B106" s="2" t="s">
        <v>42</v>
      </c>
      <c r="C106" s="2" t="s">
        <v>193</v>
      </c>
      <c r="D106" s="2" t="s">
        <v>441</v>
      </c>
      <c r="E106" s="3">
        <v>45543</v>
      </c>
      <c r="F106" s="2">
        <v>50</v>
      </c>
      <c r="G106" s="3">
        <v>45593</v>
      </c>
      <c r="H106" s="2" t="s">
        <v>236</v>
      </c>
      <c r="I106" s="2">
        <v>68204.570000000007</v>
      </c>
      <c r="J106" s="2">
        <v>43081.36</v>
      </c>
      <c r="K106" s="2">
        <v>43998.55</v>
      </c>
      <c r="L106" s="2">
        <v>41</v>
      </c>
      <c r="M106" s="3">
        <v>45584</v>
      </c>
      <c r="N106" s="2">
        <v>1</v>
      </c>
    </row>
    <row r="107" spans="1:14" x14ac:dyDescent="0.3">
      <c r="A107" s="2" t="s">
        <v>442</v>
      </c>
      <c r="B107" s="2" t="s">
        <v>151</v>
      </c>
      <c r="C107" s="2" t="s">
        <v>198</v>
      </c>
      <c r="D107" s="2" t="s">
        <v>443</v>
      </c>
      <c r="E107" s="3">
        <v>45706</v>
      </c>
      <c r="F107" s="2">
        <v>34</v>
      </c>
      <c r="G107" s="3">
        <v>45740</v>
      </c>
      <c r="H107" s="2" t="s">
        <v>233</v>
      </c>
      <c r="I107" s="2">
        <v>118092</v>
      </c>
      <c r="J107" s="2">
        <v>66787.039999999994</v>
      </c>
      <c r="K107" s="2">
        <v>50102.18</v>
      </c>
      <c r="L107" s="2"/>
      <c r="M107" s="2"/>
      <c r="N107" s="2"/>
    </row>
    <row r="108" spans="1:14" x14ac:dyDescent="0.3">
      <c r="A108" s="2" t="s">
        <v>444</v>
      </c>
      <c r="B108" s="2" t="s">
        <v>187</v>
      </c>
      <c r="C108" s="2" t="s">
        <v>198</v>
      </c>
      <c r="D108" s="2" t="s">
        <v>445</v>
      </c>
      <c r="E108" s="3">
        <v>46078</v>
      </c>
      <c r="F108" s="2">
        <v>121</v>
      </c>
      <c r="G108" s="3">
        <v>46199</v>
      </c>
      <c r="H108" s="2" t="s">
        <v>233</v>
      </c>
      <c r="I108" s="2">
        <v>147200.60999999999</v>
      </c>
      <c r="J108" s="2">
        <v>110756.41</v>
      </c>
      <c r="K108" s="2">
        <v>74809.17</v>
      </c>
      <c r="L108" s="2"/>
      <c r="M108" s="2"/>
      <c r="N108" s="2"/>
    </row>
    <row r="109" spans="1:14" x14ac:dyDescent="0.3">
      <c r="A109" s="2" t="s">
        <v>446</v>
      </c>
      <c r="B109" s="2" t="s">
        <v>34</v>
      </c>
      <c r="C109" s="2" t="s">
        <v>213</v>
      </c>
      <c r="D109" s="2" t="s">
        <v>447</v>
      </c>
      <c r="E109" s="3">
        <v>45736</v>
      </c>
      <c r="F109" s="2">
        <v>90</v>
      </c>
      <c r="G109" s="3">
        <v>45826</v>
      </c>
      <c r="H109" s="2" t="s">
        <v>236</v>
      </c>
      <c r="I109" s="2">
        <v>65770.3</v>
      </c>
      <c r="J109" s="2">
        <v>44235.8</v>
      </c>
      <c r="K109" s="2">
        <v>42461.53</v>
      </c>
      <c r="L109" s="2">
        <v>85</v>
      </c>
      <c r="M109" s="3">
        <v>45821</v>
      </c>
      <c r="N109" s="2">
        <v>1</v>
      </c>
    </row>
    <row r="110" spans="1:14" x14ac:dyDescent="0.3">
      <c r="A110" s="2" t="s">
        <v>448</v>
      </c>
      <c r="B110" s="2" t="s">
        <v>64</v>
      </c>
      <c r="C110" s="2" t="s">
        <v>193</v>
      </c>
      <c r="D110" s="2" t="s">
        <v>449</v>
      </c>
      <c r="E110" s="3">
        <v>46167</v>
      </c>
      <c r="F110" s="2">
        <v>51</v>
      </c>
      <c r="G110" s="3">
        <v>46218</v>
      </c>
      <c r="H110" s="2" t="s">
        <v>285</v>
      </c>
      <c r="I110" s="2">
        <v>103760.96000000001</v>
      </c>
      <c r="J110" s="2">
        <v>74505.52</v>
      </c>
      <c r="K110" s="2">
        <v>32231.3</v>
      </c>
      <c r="L110" s="2"/>
      <c r="M110" s="2"/>
      <c r="N110" s="2"/>
    </row>
    <row r="111" spans="1:14" x14ac:dyDescent="0.3">
      <c r="A111" s="2" t="s">
        <v>450</v>
      </c>
      <c r="B111" s="2" t="s">
        <v>187</v>
      </c>
      <c r="C111" s="2" t="s">
        <v>204</v>
      </c>
      <c r="D111" s="2" t="s">
        <v>451</v>
      </c>
      <c r="E111" s="3">
        <v>45473</v>
      </c>
      <c r="F111" s="2">
        <v>178</v>
      </c>
      <c r="G111" s="3">
        <v>45651</v>
      </c>
      <c r="H111" s="2" t="s">
        <v>233</v>
      </c>
      <c r="I111" s="2">
        <v>99976.76</v>
      </c>
      <c r="J111" s="2">
        <v>56370.17</v>
      </c>
      <c r="K111" s="2">
        <v>35577.94</v>
      </c>
      <c r="L111" s="2"/>
      <c r="M111" s="2"/>
      <c r="N111" s="2"/>
    </row>
    <row r="112" spans="1:14" x14ac:dyDescent="0.3">
      <c r="A112" s="2" t="s">
        <v>452</v>
      </c>
      <c r="B112" s="2" t="s">
        <v>167</v>
      </c>
      <c r="C112" s="2" t="s">
        <v>198</v>
      </c>
      <c r="D112" s="2" t="s">
        <v>453</v>
      </c>
      <c r="E112" s="3">
        <v>45458</v>
      </c>
      <c r="F112" s="2">
        <v>99</v>
      </c>
      <c r="G112" s="3">
        <v>45557</v>
      </c>
      <c r="H112" s="2" t="s">
        <v>236</v>
      </c>
      <c r="I112" s="2">
        <v>109486.67</v>
      </c>
      <c r="J112" s="2">
        <v>73710.850000000006</v>
      </c>
      <c r="K112" s="2">
        <v>73609.31</v>
      </c>
      <c r="L112" s="2">
        <v>83</v>
      </c>
      <c r="M112" s="3">
        <v>45541</v>
      </c>
      <c r="N112" s="2">
        <v>1</v>
      </c>
    </row>
    <row r="113" spans="1:14" x14ac:dyDescent="0.3">
      <c r="A113" s="2" t="s">
        <v>454</v>
      </c>
      <c r="B113" s="2" t="s">
        <v>171</v>
      </c>
      <c r="C113" s="2" t="s">
        <v>204</v>
      </c>
      <c r="D113" s="2" t="s">
        <v>455</v>
      </c>
      <c r="E113" s="3">
        <v>45382</v>
      </c>
      <c r="F113" s="2">
        <v>30</v>
      </c>
      <c r="G113" s="3">
        <v>45412</v>
      </c>
      <c r="H113" s="2" t="s">
        <v>233</v>
      </c>
      <c r="I113" s="2">
        <v>79692.97</v>
      </c>
      <c r="J113" s="2">
        <v>57691.14</v>
      </c>
      <c r="K113" s="2">
        <v>30217.8</v>
      </c>
      <c r="L113" s="2"/>
      <c r="M113" s="2"/>
      <c r="N113" s="2"/>
    </row>
    <row r="114" spans="1:14" x14ac:dyDescent="0.3">
      <c r="A114" s="2" t="s">
        <v>456</v>
      </c>
      <c r="B114" s="2" t="s">
        <v>74</v>
      </c>
      <c r="C114" s="2" t="s">
        <v>193</v>
      </c>
      <c r="D114" s="2" t="s">
        <v>457</v>
      </c>
      <c r="E114" s="3">
        <v>46005</v>
      </c>
      <c r="F114" s="2">
        <v>162</v>
      </c>
      <c r="G114" s="3">
        <v>46167</v>
      </c>
      <c r="H114" s="2" t="s">
        <v>233</v>
      </c>
      <c r="I114" s="2">
        <v>111607.94</v>
      </c>
      <c r="J114" s="2">
        <v>85184.86</v>
      </c>
      <c r="K114" s="2">
        <v>39808.68</v>
      </c>
      <c r="L114" s="2"/>
      <c r="M114" s="2"/>
      <c r="N114" s="2"/>
    </row>
    <row r="115" spans="1:14" x14ac:dyDescent="0.3">
      <c r="A115" s="2" t="s">
        <v>458</v>
      </c>
      <c r="B115" s="2" t="s">
        <v>42</v>
      </c>
      <c r="C115" s="2" t="s">
        <v>204</v>
      </c>
      <c r="D115" s="2" t="s">
        <v>459</v>
      </c>
      <c r="E115" s="3">
        <v>46149</v>
      </c>
      <c r="F115" s="2">
        <v>41</v>
      </c>
      <c r="G115" s="3">
        <v>46190</v>
      </c>
      <c r="H115" s="2" t="s">
        <v>236</v>
      </c>
      <c r="I115" s="2">
        <v>79380.73</v>
      </c>
      <c r="J115" s="2">
        <v>50949.94</v>
      </c>
      <c r="K115" s="2">
        <v>59994.55</v>
      </c>
      <c r="L115" s="2">
        <v>35</v>
      </c>
      <c r="M115" s="3">
        <v>46184</v>
      </c>
      <c r="N115" s="2">
        <v>1</v>
      </c>
    </row>
    <row r="116" spans="1:14" x14ac:dyDescent="0.3">
      <c r="A116" s="2" t="s">
        <v>460</v>
      </c>
      <c r="B116" s="2" t="s">
        <v>50</v>
      </c>
      <c r="C116" s="2" t="s">
        <v>196</v>
      </c>
      <c r="D116" s="2" t="s">
        <v>461</v>
      </c>
      <c r="E116" s="3">
        <v>45822</v>
      </c>
      <c r="F116" s="2">
        <v>119</v>
      </c>
      <c r="G116" s="3">
        <v>45941</v>
      </c>
      <c r="H116" s="2" t="s">
        <v>236</v>
      </c>
      <c r="I116" s="2">
        <v>111766.52</v>
      </c>
      <c r="J116" s="2">
        <v>83117.149999999994</v>
      </c>
      <c r="K116" s="2">
        <v>87753.69</v>
      </c>
      <c r="L116" s="2">
        <v>123</v>
      </c>
      <c r="M116" s="3">
        <v>45945</v>
      </c>
      <c r="N116" s="2">
        <v>0</v>
      </c>
    </row>
    <row r="117" spans="1:14" x14ac:dyDescent="0.3">
      <c r="A117" s="2" t="s">
        <v>462</v>
      </c>
      <c r="B117" s="2" t="s">
        <v>145</v>
      </c>
      <c r="C117" s="2" t="s">
        <v>201</v>
      </c>
      <c r="D117" s="2" t="s">
        <v>463</v>
      </c>
      <c r="E117" s="3">
        <v>45330</v>
      </c>
      <c r="F117" s="2">
        <v>75</v>
      </c>
      <c r="G117" s="3">
        <v>45405</v>
      </c>
      <c r="H117" s="2" t="s">
        <v>236</v>
      </c>
      <c r="I117" s="2">
        <v>210891.1</v>
      </c>
      <c r="J117" s="2">
        <v>120313.08</v>
      </c>
      <c r="K117" s="2">
        <v>107336.77</v>
      </c>
      <c r="L117" s="2">
        <v>85</v>
      </c>
      <c r="M117" s="3">
        <v>45415</v>
      </c>
      <c r="N117" s="2">
        <v>0</v>
      </c>
    </row>
    <row r="118" spans="1:14" x14ac:dyDescent="0.3">
      <c r="A118" s="2" t="s">
        <v>464</v>
      </c>
      <c r="B118" s="2" t="s">
        <v>77</v>
      </c>
      <c r="C118" s="2" t="s">
        <v>210</v>
      </c>
      <c r="D118" s="2" t="s">
        <v>465</v>
      </c>
      <c r="E118" s="3">
        <v>45417</v>
      </c>
      <c r="F118" s="2">
        <v>63</v>
      </c>
      <c r="G118" s="3">
        <v>45480</v>
      </c>
      <c r="H118" s="2" t="s">
        <v>236</v>
      </c>
      <c r="I118" s="2">
        <v>177731.51</v>
      </c>
      <c r="J118" s="2">
        <v>126724.57</v>
      </c>
      <c r="K118" s="2">
        <v>120392.44</v>
      </c>
      <c r="L118" s="2">
        <v>51</v>
      </c>
      <c r="M118" s="3">
        <v>45468</v>
      </c>
      <c r="N118" s="2">
        <v>1</v>
      </c>
    </row>
    <row r="119" spans="1:14" x14ac:dyDescent="0.3">
      <c r="A119" s="2" t="s">
        <v>466</v>
      </c>
      <c r="B119" s="2" t="s">
        <v>77</v>
      </c>
      <c r="C119" s="2" t="s">
        <v>198</v>
      </c>
      <c r="D119" s="2" t="s">
        <v>467</v>
      </c>
      <c r="E119" s="3">
        <v>45742</v>
      </c>
      <c r="F119" s="2">
        <v>107</v>
      </c>
      <c r="G119" s="3">
        <v>45849</v>
      </c>
      <c r="H119" s="2" t="s">
        <v>285</v>
      </c>
      <c r="I119" s="2">
        <v>157937.79999999999</v>
      </c>
      <c r="J119" s="2">
        <v>96423.53</v>
      </c>
      <c r="K119" s="2">
        <v>36647.519999999997</v>
      </c>
      <c r="L119" s="2"/>
      <c r="M119" s="2"/>
      <c r="N119" s="2"/>
    </row>
    <row r="120" spans="1:14" x14ac:dyDescent="0.3">
      <c r="A120" s="2" t="s">
        <v>468</v>
      </c>
      <c r="B120" s="2" t="s">
        <v>121</v>
      </c>
      <c r="C120" s="2" t="s">
        <v>207</v>
      </c>
      <c r="D120" s="2" t="s">
        <v>469</v>
      </c>
      <c r="E120" s="3">
        <v>45464</v>
      </c>
      <c r="F120" s="2">
        <v>74</v>
      </c>
      <c r="G120" s="3">
        <v>45538</v>
      </c>
      <c r="H120" s="2" t="s">
        <v>285</v>
      </c>
      <c r="I120" s="2">
        <v>89405.22</v>
      </c>
      <c r="J120" s="2">
        <v>57336.08</v>
      </c>
      <c r="K120" s="2">
        <v>24287.64</v>
      </c>
      <c r="L120" s="2"/>
      <c r="M120" s="2"/>
      <c r="N120" s="2"/>
    </row>
    <row r="121" spans="1:14" x14ac:dyDescent="0.3">
      <c r="A121" s="2" t="s">
        <v>470</v>
      </c>
      <c r="B121" s="2" t="s">
        <v>90</v>
      </c>
      <c r="C121" s="2" t="s">
        <v>201</v>
      </c>
      <c r="D121" s="2" t="s">
        <v>471</v>
      </c>
      <c r="E121" s="3">
        <v>45944</v>
      </c>
      <c r="F121" s="2">
        <v>102</v>
      </c>
      <c r="G121" s="3">
        <v>46046</v>
      </c>
      <c r="H121" s="2" t="s">
        <v>236</v>
      </c>
      <c r="I121" s="2">
        <v>200116.46</v>
      </c>
      <c r="J121" s="2">
        <v>137707.48000000001</v>
      </c>
      <c r="K121" s="2">
        <v>158831.72</v>
      </c>
      <c r="L121" s="2">
        <v>105</v>
      </c>
      <c r="M121" s="3">
        <v>46049</v>
      </c>
      <c r="N121" s="2">
        <v>0</v>
      </c>
    </row>
    <row r="122" spans="1:14" x14ac:dyDescent="0.3">
      <c r="A122" s="2" t="s">
        <v>472</v>
      </c>
      <c r="B122" s="2" t="s">
        <v>38</v>
      </c>
      <c r="C122" s="2" t="s">
        <v>210</v>
      </c>
      <c r="D122" s="2" t="s">
        <v>473</v>
      </c>
      <c r="E122" s="3">
        <v>46045</v>
      </c>
      <c r="F122" s="2">
        <v>55</v>
      </c>
      <c r="G122" s="3">
        <v>46100</v>
      </c>
      <c r="H122" s="2" t="s">
        <v>236</v>
      </c>
      <c r="I122" s="2">
        <v>168845.96</v>
      </c>
      <c r="J122" s="2">
        <v>125930</v>
      </c>
      <c r="K122" s="2">
        <v>145713.15</v>
      </c>
      <c r="L122" s="2">
        <v>49</v>
      </c>
      <c r="M122" s="3">
        <v>46094</v>
      </c>
      <c r="N122" s="2">
        <v>1</v>
      </c>
    </row>
    <row r="123" spans="1:14" x14ac:dyDescent="0.3">
      <c r="A123" s="2" t="s">
        <v>474</v>
      </c>
      <c r="B123" s="2" t="s">
        <v>53</v>
      </c>
      <c r="C123" s="2" t="s">
        <v>204</v>
      </c>
      <c r="D123" s="2" t="s">
        <v>475</v>
      </c>
      <c r="E123" s="3">
        <v>45511</v>
      </c>
      <c r="F123" s="2">
        <v>76</v>
      </c>
      <c r="G123" s="3">
        <v>45587</v>
      </c>
      <c r="H123" s="2" t="s">
        <v>236</v>
      </c>
      <c r="I123" s="2">
        <v>69976.12</v>
      </c>
      <c r="J123" s="2">
        <v>40359.730000000003</v>
      </c>
      <c r="K123" s="2">
        <v>39375.18</v>
      </c>
      <c r="L123" s="2">
        <v>88</v>
      </c>
      <c r="M123" s="3">
        <v>45599</v>
      </c>
      <c r="N123" s="2">
        <v>0</v>
      </c>
    </row>
    <row r="124" spans="1:14" x14ac:dyDescent="0.3">
      <c r="A124" s="2" t="s">
        <v>476</v>
      </c>
      <c r="B124" s="2" t="s">
        <v>169</v>
      </c>
      <c r="C124" s="2" t="s">
        <v>198</v>
      </c>
      <c r="D124" s="2" t="s">
        <v>477</v>
      </c>
      <c r="E124" s="3">
        <v>45929</v>
      </c>
      <c r="F124" s="2">
        <v>150</v>
      </c>
      <c r="G124" s="3">
        <v>46079</v>
      </c>
      <c r="H124" s="2" t="s">
        <v>236</v>
      </c>
      <c r="I124" s="2">
        <v>157507.98000000001</v>
      </c>
      <c r="J124" s="2">
        <v>97666.95</v>
      </c>
      <c r="K124" s="2">
        <v>96005</v>
      </c>
      <c r="L124" s="2">
        <v>125</v>
      </c>
      <c r="M124" s="3">
        <v>46054</v>
      </c>
      <c r="N124" s="2">
        <v>1</v>
      </c>
    </row>
    <row r="125" spans="1:14" x14ac:dyDescent="0.3">
      <c r="A125" s="2" t="s">
        <v>478</v>
      </c>
      <c r="B125" s="2" t="s">
        <v>55</v>
      </c>
      <c r="C125" s="2" t="s">
        <v>204</v>
      </c>
      <c r="D125" s="2" t="s">
        <v>479</v>
      </c>
      <c r="E125" s="3">
        <v>45349</v>
      </c>
      <c r="F125" s="2">
        <v>85</v>
      </c>
      <c r="G125" s="3">
        <v>45434</v>
      </c>
      <c r="H125" s="2" t="s">
        <v>285</v>
      </c>
      <c r="I125" s="2">
        <v>79233.75</v>
      </c>
      <c r="J125" s="2">
        <v>46740.83</v>
      </c>
      <c r="K125" s="2">
        <v>25589.46</v>
      </c>
      <c r="L125" s="2"/>
      <c r="M125" s="2"/>
      <c r="N125" s="2"/>
    </row>
    <row r="126" spans="1:14" x14ac:dyDescent="0.3">
      <c r="A126" s="2" t="s">
        <v>480</v>
      </c>
      <c r="B126" s="2" t="s">
        <v>70</v>
      </c>
      <c r="C126" s="2" t="s">
        <v>196</v>
      </c>
      <c r="D126" s="2" t="s">
        <v>481</v>
      </c>
      <c r="E126" s="3">
        <v>45951</v>
      </c>
      <c r="F126" s="2">
        <v>123</v>
      </c>
      <c r="G126" s="3">
        <v>46074</v>
      </c>
      <c r="H126" s="2" t="s">
        <v>236</v>
      </c>
      <c r="I126" s="2">
        <v>110681.98</v>
      </c>
      <c r="J126" s="2">
        <v>77192.23</v>
      </c>
      <c r="K126" s="2">
        <v>68989.25</v>
      </c>
      <c r="L126" s="2">
        <v>143</v>
      </c>
      <c r="M126" s="3">
        <v>46094</v>
      </c>
      <c r="N126" s="2">
        <v>0</v>
      </c>
    </row>
    <row r="127" spans="1:14" x14ac:dyDescent="0.3">
      <c r="A127" s="2" t="s">
        <v>482</v>
      </c>
      <c r="B127" s="2" t="s">
        <v>77</v>
      </c>
      <c r="C127" s="2" t="s">
        <v>193</v>
      </c>
      <c r="D127" s="2" t="s">
        <v>483</v>
      </c>
      <c r="E127" s="3">
        <v>45767</v>
      </c>
      <c r="F127" s="2">
        <v>136</v>
      </c>
      <c r="G127" s="3">
        <v>45903</v>
      </c>
      <c r="H127" s="2" t="s">
        <v>236</v>
      </c>
      <c r="I127" s="2">
        <v>89819.44</v>
      </c>
      <c r="J127" s="2">
        <v>67208.600000000006</v>
      </c>
      <c r="K127" s="2">
        <v>67929.77</v>
      </c>
      <c r="L127" s="2">
        <v>165</v>
      </c>
      <c r="M127" s="3">
        <v>45932</v>
      </c>
      <c r="N127" s="2">
        <v>0</v>
      </c>
    </row>
    <row r="128" spans="1:14" x14ac:dyDescent="0.3">
      <c r="A128" s="2" t="s">
        <v>484</v>
      </c>
      <c r="B128" s="2" t="s">
        <v>30</v>
      </c>
      <c r="C128" s="2" t="s">
        <v>198</v>
      </c>
      <c r="D128" s="2" t="s">
        <v>485</v>
      </c>
      <c r="E128" s="3">
        <v>45747</v>
      </c>
      <c r="F128" s="2">
        <v>92</v>
      </c>
      <c r="G128" s="3">
        <v>45839</v>
      </c>
      <c r="H128" s="2" t="s">
        <v>236</v>
      </c>
      <c r="I128" s="2">
        <v>182818.39</v>
      </c>
      <c r="J128" s="2">
        <v>107901.77</v>
      </c>
      <c r="K128" s="2">
        <v>105911.93</v>
      </c>
      <c r="L128" s="2">
        <v>94</v>
      </c>
      <c r="M128" s="3">
        <v>45841</v>
      </c>
      <c r="N128" s="2">
        <v>0</v>
      </c>
    </row>
    <row r="129" spans="1:14" x14ac:dyDescent="0.3">
      <c r="A129" s="2" t="s">
        <v>486</v>
      </c>
      <c r="B129" s="2" t="s">
        <v>47</v>
      </c>
      <c r="C129" s="2" t="s">
        <v>210</v>
      </c>
      <c r="D129" s="2" t="s">
        <v>487</v>
      </c>
      <c r="E129" s="3">
        <v>46120</v>
      </c>
      <c r="F129" s="2">
        <v>77</v>
      </c>
      <c r="G129" s="3">
        <v>46197</v>
      </c>
      <c r="H129" s="2" t="s">
        <v>233</v>
      </c>
      <c r="I129" s="2">
        <v>179634.92</v>
      </c>
      <c r="J129" s="2">
        <v>104846.8</v>
      </c>
      <c r="K129" s="2">
        <v>55963.78</v>
      </c>
      <c r="L129" s="2"/>
      <c r="M129" s="2"/>
      <c r="N129" s="2"/>
    </row>
    <row r="130" spans="1:14" x14ac:dyDescent="0.3">
      <c r="A130" s="2" t="s">
        <v>488</v>
      </c>
      <c r="B130" s="2" t="s">
        <v>185</v>
      </c>
      <c r="C130" s="2" t="s">
        <v>210</v>
      </c>
      <c r="D130" s="2" t="s">
        <v>489</v>
      </c>
      <c r="E130" s="3">
        <v>46186</v>
      </c>
      <c r="F130" s="2">
        <v>90</v>
      </c>
      <c r="G130" s="3">
        <v>46276</v>
      </c>
      <c r="H130" s="2" t="s">
        <v>236</v>
      </c>
      <c r="I130" s="2">
        <v>177873.07</v>
      </c>
      <c r="J130" s="2">
        <v>115524.03</v>
      </c>
      <c r="K130" s="2">
        <v>117491.03</v>
      </c>
      <c r="L130" s="2">
        <v>84</v>
      </c>
      <c r="M130" s="3">
        <v>46270</v>
      </c>
      <c r="N130" s="2">
        <v>1</v>
      </c>
    </row>
    <row r="131" spans="1:14" x14ac:dyDescent="0.3">
      <c r="A131" s="2" t="s">
        <v>490</v>
      </c>
      <c r="B131" s="2" t="s">
        <v>30</v>
      </c>
      <c r="C131" s="2" t="s">
        <v>196</v>
      </c>
      <c r="D131" s="2" t="s">
        <v>491</v>
      </c>
      <c r="E131" s="3">
        <v>45652</v>
      </c>
      <c r="F131" s="2">
        <v>110</v>
      </c>
      <c r="G131" s="3">
        <v>45762</v>
      </c>
      <c r="H131" s="2" t="s">
        <v>233</v>
      </c>
      <c r="I131" s="2">
        <v>111306.52</v>
      </c>
      <c r="J131" s="2">
        <v>72470.3</v>
      </c>
      <c r="K131" s="2">
        <v>29193.38</v>
      </c>
      <c r="L131" s="2"/>
      <c r="M131" s="2"/>
      <c r="N131" s="2"/>
    </row>
    <row r="132" spans="1:14" x14ac:dyDescent="0.3">
      <c r="A132" s="2" t="s">
        <v>492</v>
      </c>
      <c r="B132" s="2" t="s">
        <v>36</v>
      </c>
      <c r="C132" s="2" t="s">
        <v>196</v>
      </c>
      <c r="D132" s="2" t="s">
        <v>493</v>
      </c>
      <c r="E132" s="3">
        <v>45292</v>
      </c>
      <c r="F132" s="2">
        <v>55</v>
      </c>
      <c r="G132" s="3">
        <v>45347</v>
      </c>
      <c r="H132" s="2" t="s">
        <v>236</v>
      </c>
      <c r="I132" s="2">
        <v>80725.39</v>
      </c>
      <c r="J132" s="2">
        <v>55902.75</v>
      </c>
      <c r="K132" s="2">
        <v>50321.88</v>
      </c>
      <c r="L132" s="2">
        <v>60</v>
      </c>
      <c r="M132" s="3">
        <v>45352</v>
      </c>
      <c r="N132" s="2">
        <v>0</v>
      </c>
    </row>
    <row r="133" spans="1:14" x14ac:dyDescent="0.3">
      <c r="A133" s="2" t="s">
        <v>494</v>
      </c>
      <c r="B133" s="2" t="s">
        <v>123</v>
      </c>
      <c r="C133" s="2" t="s">
        <v>213</v>
      </c>
      <c r="D133" s="2" t="s">
        <v>495</v>
      </c>
      <c r="E133" s="3">
        <v>45678</v>
      </c>
      <c r="F133" s="2">
        <v>65</v>
      </c>
      <c r="G133" s="3">
        <v>45743</v>
      </c>
      <c r="H133" s="2" t="s">
        <v>233</v>
      </c>
      <c r="I133" s="2">
        <v>113198.43</v>
      </c>
      <c r="J133" s="2">
        <v>63856.41</v>
      </c>
      <c r="K133" s="2">
        <v>47278.06</v>
      </c>
      <c r="L133" s="2"/>
      <c r="M133" s="2"/>
      <c r="N133" s="2"/>
    </row>
    <row r="134" spans="1:14" x14ac:dyDescent="0.3">
      <c r="A134" s="2" t="s">
        <v>496</v>
      </c>
      <c r="B134" s="2" t="s">
        <v>171</v>
      </c>
      <c r="C134" s="2" t="s">
        <v>198</v>
      </c>
      <c r="D134" s="2" t="s">
        <v>497</v>
      </c>
      <c r="E134" s="3">
        <v>45639</v>
      </c>
      <c r="F134" s="2">
        <v>30</v>
      </c>
      <c r="G134" s="3">
        <v>45669</v>
      </c>
      <c r="H134" s="2" t="s">
        <v>233</v>
      </c>
      <c r="I134" s="2">
        <v>118789.06</v>
      </c>
      <c r="J134" s="2">
        <v>92515.21</v>
      </c>
      <c r="K134" s="2">
        <v>35053.11</v>
      </c>
      <c r="L134" s="2"/>
      <c r="M134" s="2"/>
      <c r="N134" s="2"/>
    </row>
    <row r="135" spans="1:14" x14ac:dyDescent="0.3">
      <c r="A135" s="2" t="s">
        <v>498</v>
      </c>
      <c r="B135" s="2" t="s">
        <v>145</v>
      </c>
      <c r="C135" s="2" t="s">
        <v>204</v>
      </c>
      <c r="D135" s="2" t="s">
        <v>499</v>
      </c>
      <c r="E135" s="3">
        <v>45481</v>
      </c>
      <c r="F135" s="2">
        <v>37</v>
      </c>
      <c r="G135" s="3">
        <v>45518</v>
      </c>
      <c r="H135" s="2" t="s">
        <v>236</v>
      </c>
      <c r="I135" s="2">
        <v>69035.08</v>
      </c>
      <c r="J135" s="2">
        <v>49005.11</v>
      </c>
      <c r="K135" s="2">
        <v>45522.29</v>
      </c>
      <c r="L135" s="2">
        <v>45</v>
      </c>
      <c r="M135" s="3">
        <v>45526</v>
      </c>
      <c r="N135" s="2">
        <v>0</v>
      </c>
    </row>
    <row r="136" spans="1:14" x14ac:dyDescent="0.3">
      <c r="A136" s="2" t="s">
        <v>500</v>
      </c>
      <c r="B136" s="2" t="s">
        <v>104</v>
      </c>
      <c r="C136" s="2" t="s">
        <v>207</v>
      </c>
      <c r="D136" s="2" t="s">
        <v>501</v>
      </c>
      <c r="E136" s="3">
        <v>45796</v>
      </c>
      <c r="F136" s="2">
        <v>142</v>
      </c>
      <c r="G136" s="3">
        <v>45938</v>
      </c>
      <c r="H136" s="2" t="s">
        <v>236</v>
      </c>
      <c r="I136" s="2">
        <v>129757.71</v>
      </c>
      <c r="J136" s="2">
        <v>92023.79</v>
      </c>
      <c r="K136" s="2">
        <v>93690.28</v>
      </c>
      <c r="L136" s="2">
        <v>117</v>
      </c>
      <c r="M136" s="3">
        <v>45913</v>
      </c>
      <c r="N136" s="2">
        <v>1</v>
      </c>
    </row>
    <row r="137" spans="1:14" x14ac:dyDescent="0.3">
      <c r="A137" s="2" t="s">
        <v>502</v>
      </c>
      <c r="B137" s="2" t="s">
        <v>58</v>
      </c>
      <c r="C137" s="2" t="s">
        <v>210</v>
      </c>
      <c r="D137" s="2" t="s">
        <v>503</v>
      </c>
      <c r="E137" s="3">
        <v>45482</v>
      </c>
      <c r="F137" s="2">
        <v>128</v>
      </c>
      <c r="G137" s="3">
        <v>45610</v>
      </c>
      <c r="H137" s="2" t="s">
        <v>285</v>
      </c>
      <c r="I137" s="2">
        <v>149353.07</v>
      </c>
      <c r="J137" s="2">
        <v>116381.93</v>
      </c>
      <c r="K137" s="2">
        <v>70642.100000000006</v>
      </c>
      <c r="L137" s="2"/>
      <c r="M137" s="2"/>
      <c r="N137" s="2"/>
    </row>
    <row r="138" spans="1:14" x14ac:dyDescent="0.3">
      <c r="A138" s="2" t="s">
        <v>504</v>
      </c>
      <c r="B138" s="2" t="s">
        <v>145</v>
      </c>
      <c r="C138" s="2" t="s">
        <v>210</v>
      </c>
      <c r="D138" s="2" t="s">
        <v>505</v>
      </c>
      <c r="E138" s="3">
        <v>45799</v>
      </c>
      <c r="F138" s="2">
        <v>76</v>
      </c>
      <c r="G138" s="3">
        <v>45875</v>
      </c>
      <c r="H138" s="2" t="s">
        <v>230</v>
      </c>
      <c r="I138" s="2">
        <v>105992.69</v>
      </c>
      <c r="J138" s="2">
        <v>73505.509999999995</v>
      </c>
      <c r="K138" s="2">
        <v>21444.32</v>
      </c>
      <c r="L138" s="2">
        <v>27</v>
      </c>
      <c r="M138" s="3">
        <v>45826</v>
      </c>
      <c r="N138" s="2"/>
    </row>
    <row r="139" spans="1:14" x14ac:dyDescent="0.3">
      <c r="A139" s="2" t="s">
        <v>506</v>
      </c>
      <c r="B139" s="2" t="s">
        <v>55</v>
      </c>
      <c r="C139" s="2" t="s">
        <v>196</v>
      </c>
      <c r="D139" s="2" t="s">
        <v>507</v>
      </c>
      <c r="E139" s="3">
        <v>45660</v>
      </c>
      <c r="F139" s="2">
        <v>156</v>
      </c>
      <c r="G139" s="3">
        <v>45816</v>
      </c>
      <c r="H139" s="2" t="s">
        <v>236</v>
      </c>
      <c r="I139" s="2">
        <v>132080.93</v>
      </c>
      <c r="J139" s="2">
        <v>76615.31</v>
      </c>
      <c r="K139" s="2">
        <v>76494.95</v>
      </c>
      <c r="L139" s="2">
        <v>187</v>
      </c>
      <c r="M139" s="3">
        <v>45847</v>
      </c>
      <c r="N139" s="2">
        <v>0</v>
      </c>
    </row>
    <row r="140" spans="1:14" x14ac:dyDescent="0.3">
      <c r="A140" s="2" t="s">
        <v>508</v>
      </c>
      <c r="B140" s="2" t="s">
        <v>47</v>
      </c>
      <c r="C140" s="2" t="s">
        <v>201</v>
      </c>
      <c r="D140" s="2" t="s">
        <v>509</v>
      </c>
      <c r="E140" s="3">
        <v>45700</v>
      </c>
      <c r="F140" s="2">
        <v>85</v>
      </c>
      <c r="G140" s="3">
        <v>45785</v>
      </c>
      <c r="H140" s="2" t="s">
        <v>236</v>
      </c>
      <c r="I140" s="2">
        <v>159918.53</v>
      </c>
      <c r="J140" s="2">
        <v>103187.4</v>
      </c>
      <c r="K140" s="2">
        <v>112690.22</v>
      </c>
      <c r="L140" s="2">
        <v>99</v>
      </c>
      <c r="M140" s="3">
        <v>45799</v>
      </c>
      <c r="N140" s="2">
        <v>0</v>
      </c>
    </row>
    <row r="141" spans="1:14" x14ac:dyDescent="0.3">
      <c r="A141" s="2" t="s">
        <v>510</v>
      </c>
      <c r="B141" s="2" t="s">
        <v>88</v>
      </c>
      <c r="C141" s="2" t="s">
        <v>196</v>
      </c>
      <c r="D141" s="2" t="s">
        <v>511</v>
      </c>
      <c r="E141" s="3">
        <v>46115</v>
      </c>
      <c r="F141" s="2">
        <v>43</v>
      </c>
      <c r="G141" s="3">
        <v>46158</v>
      </c>
      <c r="H141" s="2" t="s">
        <v>285</v>
      </c>
      <c r="I141" s="2">
        <v>81660.789999999994</v>
      </c>
      <c r="J141" s="2">
        <v>59362.5</v>
      </c>
      <c r="K141" s="2">
        <v>12199.92</v>
      </c>
      <c r="L141" s="2"/>
      <c r="M141" s="2"/>
      <c r="N141" s="2"/>
    </row>
    <row r="142" spans="1:14" x14ac:dyDescent="0.3">
      <c r="A142" s="2" t="s">
        <v>512</v>
      </c>
      <c r="B142" s="2" t="s">
        <v>72</v>
      </c>
      <c r="C142" s="2" t="s">
        <v>207</v>
      </c>
      <c r="D142" s="2" t="s">
        <v>513</v>
      </c>
      <c r="E142" s="3">
        <v>45408</v>
      </c>
      <c r="F142" s="2">
        <v>57</v>
      </c>
      <c r="G142" s="3">
        <v>45465</v>
      </c>
      <c r="H142" s="2" t="s">
        <v>233</v>
      </c>
      <c r="I142" s="2">
        <v>130975.16</v>
      </c>
      <c r="J142" s="2">
        <v>72614.490000000005</v>
      </c>
      <c r="K142" s="2">
        <v>34848.17</v>
      </c>
      <c r="L142" s="2"/>
      <c r="M142" s="2"/>
      <c r="N142" s="2"/>
    </row>
    <row r="143" spans="1:14" x14ac:dyDescent="0.3">
      <c r="A143" s="2" t="s">
        <v>514</v>
      </c>
      <c r="B143" s="2" t="s">
        <v>147</v>
      </c>
      <c r="C143" s="2" t="s">
        <v>204</v>
      </c>
      <c r="D143" s="2" t="s">
        <v>515</v>
      </c>
      <c r="E143" s="3">
        <v>45425</v>
      </c>
      <c r="F143" s="2">
        <v>107</v>
      </c>
      <c r="G143" s="3">
        <v>45532</v>
      </c>
      <c r="H143" s="2" t="s">
        <v>236</v>
      </c>
      <c r="I143" s="2">
        <v>30097.95</v>
      </c>
      <c r="J143" s="2">
        <v>21817</v>
      </c>
      <c r="K143" s="2">
        <v>22398.47</v>
      </c>
      <c r="L143" s="2">
        <v>92</v>
      </c>
      <c r="M143" s="3">
        <v>45517</v>
      </c>
      <c r="N143" s="2">
        <v>1</v>
      </c>
    </row>
    <row r="144" spans="1:14" x14ac:dyDescent="0.3">
      <c r="A144" s="2" t="s">
        <v>516</v>
      </c>
      <c r="B144" s="2" t="s">
        <v>116</v>
      </c>
      <c r="C144" s="2" t="s">
        <v>204</v>
      </c>
      <c r="D144" s="2" t="s">
        <v>517</v>
      </c>
      <c r="E144" s="3">
        <v>45349</v>
      </c>
      <c r="F144" s="2">
        <v>159</v>
      </c>
      <c r="G144" s="3">
        <v>45508</v>
      </c>
      <c r="H144" s="2" t="s">
        <v>285</v>
      </c>
      <c r="I144" s="2">
        <v>54690.76</v>
      </c>
      <c r="J144" s="2">
        <v>36972.629999999997</v>
      </c>
      <c r="K144" s="2">
        <v>15794.29</v>
      </c>
      <c r="L144" s="2"/>
      <c r="M144" s="2"/>
      <c r="N144" s="2"/>
    </row>
    <row r="145" spans="1:14" x14ac:dyDescent="0.3">
      <c r="A145" s="2" t="s">
        <v>518</v>
      </c>
      <c r="B145" s="2" t="s">
        <v>16</v>
      </c>
      <c r="C145" s="2" t="s">
        <v>201</v>
      </c>
      <c r="D145" s="2" t="s">
        <v>519</v>
      </c>
      <c r="E145" s="3">
        <v>45847</v>
      </c>
      <c r="F145" s="2">
        <v>138</v>
      </c>
      <c r="G145" s="3">
        <v>45985</v>
      </c>
      <c r="H145" s="2" t="s">
        <v>236</v>
      </c>
      <c r="I145" s="2">
        <v>178774.82</v>
      </c>
      <c r="J145" s="2">
        <v>133044.6</v>
      </c>
      <c r="K145" s="2">
        <v>134524</v>
      </c>
      <c r="L145" s="2">
        <v>116</v>
      </c>
      <c r="M145" s="3">
        <v>45963</v>
      </c>
      <c r="N145" s="2">
        <v>1</v>
      </c>
    </row>
    <row r="146" spans="1:14" x14ac:dyDescent="0.3">
      <c r="A146" s="2" t="s">
        <v>520</v>
      </c>
      <c r="B146" s="2" t="s">
        <v>100</v>
      </c>
      <c r="C146" s="2" t="s">
        <v>210</v>
      </c>
      <c r="D146" s="2" t="s">
        <v>521</v>
      </c>
      <c r="E146" s="3">
        <v>45976</v>
      </c>
      <c r="F146" s="2">
        <v>43</v>
      </c>
      <c r="G146" s="3">
        <v>46019</v>
      </c>
      <c r="H146" s="2" t="s">
        <v>233</v>
      </c>
      <c r="I146" s="2">
        <v>144396.46</v>
      </c>
      <c r="J146" s="2">
        <v>103906.56</v>
      </c>
      <c r="K146" s="2">
        <v>61098</v>
      </c>
      <c r="L146" s="2"/>
      <c r="M146" s="2"/>
      <c r="N146" s="2"/>
    </row>
    <row r="147" spans="1:14" x14ac:dyDescent="0.3">
      <c r="A147" s="2" t="s">
        <v>522</v>
      </c>
      <c r="B147" s="2" t="s">
        <v>112</v>
      </c>
      <c r="C147" s="2" t="s">
        <v>196</v>
      </c>
      <c r="D147" s="2" t="s">
        <v>523</v>
      </c>
      <c r="E147" s="3">
        <v>45963</v>
      </c>
      <c r="F147" s="2">
        <v>85</v>
      </c>
      <c r="G147" s="3">
        <v>46048</v>
      </c>
      <c r="H147" s="2" t="s">
        <v>236</v>
      </c>
      <c r="I147" s="2">
        <v>88587.77</v>
      </c>
      <c r="J147" s="2">
        <v>56382.07</v>
      </c>
      <c r="K147" s="2">
        <v>56473.26</v>
      </c>
      <c r="L147" s="2">
        <v>83</v>
      </c>
      <c r="M147" s="3">
        <v>46046</v>
      </c>
      <c r="N147" s="2">
        <v>1</v>
      </c>
    </row>
    <row r="148" spans="1:14" x14ac:dyDescent="0.3">
      <c r="A148" s="2" t="s">
        <v>524</v>
      </c>
      <c r="B148" s="2" t="s">
        <v>106</v>
      </c>
      <c r="C148" s="2" t="s">
        <v>213</v>
      </c>
      <c r="D148" s="2" t="s">
        <v>525</v>
      </c>
      <c r="E148" s="3">
        <v>45464</v>
      </c>
      <c r="F148" s="2">
        <v>144</v>
      </c>
      <c r="G148" s="3">
        <v>45608</v>
      </c>
      <c r="H148" s="2" t="s">
        <v>236</v>
      </c>
      <c r="I148" s="2">
        <v>106267.58</v>
      </c>
      <c r="J148" s="2">
        <v>81797.02</v>
      </c>
      <c r="K148" s="2">
        <v>78041.25</v>
      </c>
      <c r="L148" s="2">
        <v>166</v>
      </c>
      <c r="M148" s="3">
        <v>45630</v>
      </c>
      <c r="N148" s="2">
        <v>0</v>
      </c>
    </row>
    <row r="149" spans="1:14" x14ac:dyDescent="0.3">
      <c r="A149" s="2" t="s">
        <v>526</v>
      </c>
      <c r="B149" s="2" t="s">
        <v>137</v>
      </c>
      <c r="C149" s="2" t="s">
        <v>204</v>
      </c>
      <c r="D149" s="2" t="s">
        <v>527</v>
      </c>
      <c r="E149" s="3">
        <v>46120</v>
      </c>
      <c r="F149" s="2">
        <v>36</v>
      </c>
      <c r="G149" s="3">
        <v>46156</v>
      </c>
      <c r="H149" s="2" t="s">
        <v>236</v>
      </c>
      <c r="I149" s="2">
        <v>73189.25</v>
      </c>
      <c r="J149" s="2">
        <v>51837.82</v>
      </c>
      <c r="K149" s="2">
        <v>48418.66</v>
      </c>
      <c r="L149" s="2">
        <v>35</v>
      </c>
      <c r="M149" s="3">
        <v>46155</v>
      </c>
      <c r="N149" s="2">
        <v>1</v>
      </c>
    </row>
    <row r="150" spans="1:14" x14ac:dyDescent="0.3">
      <c r="A150" s="2" t="s">
        <v>528</v>
      </c>
      <c r="B150" s="2" t="s">
        <v>104</v>
      </c>
      <c r="C150" s="2" t="s">
        <v>207</v>
      </c>
      <c r="D150" s="2" t="s">
        <v>529</v>
      </c>
      <c r="E150" s="3">
        <v>46106</v>
      </c>
      <c r="F150" s="2">
        <v>32</v>
      </c>
      <c r="G150" s="3">
        <v>46138</v>
      </c>
      <c r="H150" s="2" t="s">
        <v>233</v>
      </c>
      <c r="I150" s="2">
        <v>147084.69</v>
      </c>
      <c r="J150" s="2">
        <v>102452.77</v>
      </c>
      <c r="K150" s="2">
        <v>69634.789999999994</v>
      </c>
      <c r="L150" s="2"/>
      <c r="M150" s="2"/>
      <c r="N150" s="2"/>
    </row>
    <row r="151" spans="1:14" x14ac:dyDescent="0.3">
      <c r="A151" s="2" t="s">
        <v>530</v>
      </c>
      <c r="B151" s="2" t="s">
        <v>50</v>
      </c>
      <c r="C151" s="2" t="s">
        <v>198</v>
      </c>
      <c r="D151" s="2" t="s">
        <v>531</v>
      </c>
      <c r="E151" s="3">
        <v>45440</v>
      </c>
      <c r="F151" s="2">
        <v>140</v>
      </c>
      <c r="G151" s="3">
        <v>45580</v>
      </c>
      <c r="H151" s="2" t="s">
        <v>236</v>
      </c>
      <c r="I151" s="2">
        <v>168377.57</v>
      </c>
      <c r="J151" s="2">
        <v>127272.74</v>
      </c>
      <c r="K151" s="2">
        <v>133967.04999999999</v>
      </c>
      <c r="L151" s="2">
        <v>152</v>
      </c>
      <c r="M151" s="3">
        <v>45592</v>
      </c>
      <c r="N151" s="2">
        <v>0</v>
      </c>
    </row>
    <row r="152" spans="1:14" x14ac:dyDescent="0.3">
      <c r="A152" s="2" t="s">
        <v>532</v>
      </c>
      <c r="B152" s="2" t="s">
        <v>21</v>
      </c>
      <c r="C152" s="2" t="s">
        <v>193</v>
      </c>
      <c r="D152" s="2" t="s">
        <v>533</v>
      </c>
      <c r="E152" s="3">
        <v>45371</v>
      </c>
      <c r="F152" s="2">
        <v>180</v>
      </c>
      <c r="G152" s="3">
        <v>45551</v>
      </c>
      <c r="H152" s="2" t="s">
        <v>236</v>
      </c>
      <c r="I152" s="2">
        <v>90633.68</v>
      </c>
      <c r="J152" s="2">
        <v>52978.91</v>
      </c>
      <c r="K152" s="2">
        <v>53987.27</v>
      </c>
      <c r="L152" s="2">
        <v>203</v>
      </c>
      <c r="M152" s="3">
        <v>45574</v>
      </c>
      <c r="N152" s="2">
        <v>0</v>
      </c>
    </row>
    <row r="153" spans="1:14" x14ac:dyDescent="0.3">
      <c r="A153" s="2" t="s">
        <v>534</v>
      </c>
      <c r="B153" s="2" t="s">
        <v>74</v>
      </c>
      <c r="C153" s="2" t="s">
        <v>193</v>
      </c>
      <c r="D153" s="2" t="s">
        <v>535</v>
      </c>
      <c r="E153" s="3">
        <v>46177</v>
      </c>
      <c r="F153" s="2">
        <v>136</v>
      </c>
      <c r="G153" s="3">
        <v>46313</v>
      </c>
      <c r="H153" s="2" t="s">
        <v>236</v>
      </c>
      <c r="I153" s="2">
        <v>75082.33</v>
      </c>
      <c r="J153" s="2">
        <v>53042.09</v>
      </c>
      <c r="K153" s="2">
        <v>46569.97</v>
      </c>
      <c r="L153" s="2">
        <v>111</v>
      </c>
      <c r="M153" s="3">
        <v>46288</v>
      </c>
      <c r="N153" s="2">
        <v>1</v>
      </c>
    </row>
    <row r="154" spans="1:14" x14ac:dyDescent="0.3">
      <c r="A154" s="2" t="s">
        <v>536</v>
      </c>
      <c r="B154" s="2" t="s">
        <v>44</v>
      </c>
      <c r="C154" s="2" t="s">
        <v>193</v>
      </c>
      <c r="D154" s="2" t="s">
        <v>537</v>
      </c>
      <c r="E154" s="3">
        <v>45504</v>
      </c>
      <c r="F154" s="2">
        <v>47</v>
      </c>
      <c r="G154" s="3">
        <v>45551</v>
      </c>
      <c r="H154" s="2" t="s">
        <v>236</v>
      </c>
      <c r="I154" s="2">
        <v>82766.63</v>
      </c>
      <c r="J154" s="2">
        <v>46878.11</v>
      </c>
      <c r="K154" s="2">
        <v>54643.26</v>
      </c>
      <c r="L154" s="2">
        <v>37</v>
      </c>
      <c r="M154" s="3">
        <v>45541</v>
      </c>
      <c r="N154" s="2">
        <v>1</v>
      </c>
    </row>
    <row r="155" spans="1:14" x14ac:dyDescent="0.3">
      <c r="A155" s="2" t="s">
        <v>538</v>
      </c>
      <c r="B155" s="2" t="s">
        <v>92</v>
      </c>
      <c r="C155" s="2" t="s">
        <v>213</v>
      </c>
      <c r="D155" s="2" t="s">
        <v>539</v>
      </c>
      <c r="E155" s="3">
        <v>45494</v>
      </c>
      <c r="F155" s="2">
        <v>67</v>
      </c>
      <c r="G155" s="3">
        <v>45561</v>
      </c>
      <c r="H155" s="2" t="s">
        <v>230</v>
      </c>
      <c r="I155" s="2">
        <v>104062.97</v>
      </c>
      <c r="J155" s="2">
        <v>74886.509999999995</v>
      </c>
      <c r="K155" s="2">
        <v>17481.580000000002</v>
      </c>
      <c r="L155" s="2">
        <v>18</v>
      </c>
      <c r="M155" s="3">
        <v>45512</v>
      </c>
      <c r="N155" s="2"/>
    </row>
    <row r="156" spans="1:14" x14ac:dyDescent="0.3">
      <c r="A156" s="2" t="s">
        <v>540</v>
      </c>
      <c r="B156" s="2" t="s">
        <v>53</v>
      </c>
      <c r="C156" s="2" t="s">
        <v>210</v>
      </c>
      <c r="D156" s="2" t="s">
        <v>541</v>
      </c>
      <c r="E156" s="3">
        <v>46055</v>
      </c>
      <c r="F156" s="2">
        <v>144</v>
      </c>
      <c r="G156" s="3">
        <v>46199</v>
      </c>
      <c r="H156" s="2" t="s">
        <v>236</v>
      </c>
      <c r="I156" s="2">
        <v>202254.57</v>
      </c>
      <c r="J156" s="2">
        <v>142006.01999999999</v>
      </c>
      <c r="K156" s="2">
        <v>128864.22</v>
      </c>
      <c r="L156" s="2">
        <v>127</v>
      </c>
      <c r="M156" s="3">
        <v>46182</v>
      </c>
      <c r="N156" s="2">
        <v>1</v>
      </c>
    </row>
    <row r="157" spans="1:14" x14ac:dyDescent="0.3">
      <c r="A157" s="2" t="s">
        <v>542</v>
      </c>
      <c r="B157" s="2" t="s">
        <v>110</v>
      </c>
      <c r="C157" s="2" t="s">
        <v>196</v>
      </c>
      <c r="D157" s="2" t="s">
        <v>543</v>
      </c>
      <c r="E157" s="3">
        <v>45520</v>
      </c>
      <c r="F157" s="2">
        <v>44</v>
      </c>
      <c r="G157" s="3">
        <v>45564</v>
      </c>
      <c r="H157" s="2" t="s">
        <v>233</v>
      </c>
      <c r="I157" s="2">
        <v>94103.16</v>
      </c>
      <c r="J157" s="2">
        <v>53886.39</v>
      </c>
      <c r="K157" s="2">
        <v>36650.9</v>
      </c>
      <c r="L157" s="2"/>
      <c r="M157" s="2"/>
      <c r="N157" s="2"/>
    </row>
    <row r="158" spans="1:14" x14ac:dyDescent="0.3">
      <c r="A158" s="2" t="s">
        <v>544</v>
      </c>
      <c r="B158" s="2" t="s">
        <v>159</v>
      </c>
      <c r="C158" s="2" t="s">
        <v>201</v>
      </c>
      <c r="D158" s="2" t="s">
        <v>545</v>
      </c>
      <c r="E158" s="3">
        <v>45967</v>
      </c>
      <c r="F158" s="2">
        <v>148</v>
      </c>
      <c r="G158" s="3">
        <v>46115</v>
      </c>
      <c r="H158" s="2" t="s">
        <v>285</v>
      </c>
      <c r="I158" s="2">
        <v>149044.18</v>
      </c>
      <c r="J158" s="2">
        <v>82692.3</v>
      </c>
      <c r="K158" s="2">
        <v>19935.939999999999</v>
      </c>
      <c r="L158" s="2"/>
      <c r="M158" s="2"/>
      <c r="N158" s="2"/>
    </row>
    <row r="159" spans="1:14" x14ac:dyDescent="0.3">
      <c r="A159" s="2" t="s">
        <v>546</v>
      </c>
      <c r="B159" s="2" t="s">
        <v>137</v>
      </c>
      <c r="C159" s="2" t="s">
        <v>213</v>
      </c>
      <c r="D159" s="2" t="s">
        <v>547</v>
      </c>
      <c r="E159" s="3">
        <v>45518</v>
      </c>
      <c r="F159" s="2">
        <v>57</v>
      </c>
      <c r="G159" s="3">
        <v>45575</v>
      </c>
      <c r="H159" s="2" t="s">
        <v>233</v>
      </c>
      <c r="I159" s="2">
        <v>119351.03999999999</v>
      </c>
      <c r="J159" s="2">
        <v>92211.54</v>
      </c>
      <c r="K159" s="2">
        <v>45895.75</v>
      </c>
      <c r="L159" s="2"/>
      <c r="M159" s="2"/>
      <c r="N159" s="2"/>
    </row>
    <row r="160" spans="1:14" x14ac:dyDescent="0.3">
      <c r="A160" s="2" t="s">
        <v>548</v>
      </c>
      <c r="B160" s="2" t="s">
        <v>110</v>
      </c>
      <c r="C160" s="2" t="s">
        <v>213</v>
      </c>
      <c r="D160" s="2" t="s">
        <v>549</v>
      </c>
      <c r="E160" s="3">
        <v>45950</v>
      </c>
      <c r="F160" s="2">
        <v>68</v>
      </c>
      <c r="G160" s="3">
        <v>46018</v>
      </c>
      <c r="H160" s="2" t="s">
        <v>236</v>
      </c>
      <c r="I160" s="2">
        <v>113356.88</v>
      </c>
      <c r="J160" s="2">
        <v>72304.25</v>
      </c>
      <c r="K160" s="2">
        <v>64354.94</v>
      </c>
      <c r="L160" s="2">
        <v>60</v>
      </c>
      <c r="M160" s="3">
        <v>46010</v>
      </c>
      <c r="N160" s="2">
        <v>1</v>
      </c>
    </row>
    <row r="161" spans="1:14" x14ac:dyDescent="0.3">
      <c r="A161" s="2" t="s">
        <v>550</v>
      </c>
      <c r="B161" s="2" t="s">
        <v>94</v>
      </c>
      <c r="C161" s="2" t="s">
        <v>204</v>
      </c>
      <c r="D161" s="2" t="s">
        <v>551</v>
      </c>
      <c r="E161" s="3">
        <v>45823</v>
      </c>
      <c r="F161" s="2">
        <v>46</v>
      </c>
      <c r="G161" s="3">
        <v>45869</v>
      </c>
      <c r="H161" s="2" t="s">
        <v>236</v>
      </c>
      <c r="I161" s="2">
        <v>90191.85</v>
      </c>
      <c r="J161" s="2">
        <v>62363.42</v>
      </c>
      <c r="K161" s="2">
        <v>66260.41</v>
      </c>
      <c r="L161" s="2">
        <v>52</v>
      </c>
      <c r="M161" s="3">
        <v>45875</v>
      </c>
      <c r="N161" s="2">
        <v>0</v>
      </c>
    </row>
    <row r="162" spans="1:14" x14ac:dyDescent="0.3">
      <c r="A162" s="2" t="s">
        <v>552</v>
      </c>
      <c r="B162" s="2" t="s">
        <v>86</v>
      </c>
      <c r="C162" s="2" t="s">
        <v>198</v>
      </c>
      <c r="D162" s="2" t="s">
        <v>553</v>
      </c>
      <c r="E162" s="3">
        <v>45732</v>
      </c>
      <c r="F162" s="2">
        <v>115</v>
      </c>
      <c r="G162" s="3">
        <v>45847</v>
      </c>
      <c r="H162" s="2" t="s">
        <v>236</v>
      </c>
      <c r="I162" s="2">
        <v>122032.57</v>
      </c>
      <c r="J162" s="2">
        <v>94300.97</v>
      </c>
      <c r="K162" s="2">
        <v>89268.24</v>
      </c>
      <c r="L162" s="2">
        <v>133</v>
      </c>
      <c r="M162" s="3">
        <v>45865</v>
      </c>
      <c r="N162" s="2">
        <v>0</v>
      </c>
    </row>
    <row r="163" spans="1:14" x14ac:dyDescent="0.3">
      <c r="A163" s="2" t="s">
        <v>554</v>
      </c>
      <c r="B163" s="2" t="s">
        <v>44</v>
      </c>
      <c r="C163" s="2" t="s">
        <v>213</v>
      </c>
      <c r="D163" s="2" t="s">
        <v>555</v>
      </c>
      <c r="E163" s="3">
        <v>45693</v>
      </c>
      <c r="F163" s="2">
        <v>155</v>
      </c>
      <c r="G163" s="3">
        <v>45848</v>
      </c>
      <c r="H163" s="2" t="s">
        <v>236</v>
      </c>
      <c r="I163" s="2">
        <v>100849.02</v>
      </c>
      <c r="J163" s="2">
        <v>78197.64</v>
      </c>
      <c r="K163" s="2">
        <v>81497.539999999994</v>
      </c>
      <c r="L163" s="2">
        <v>165</v>
      </c>
      <c r="M163" s="3">
        <v>45858</v>
      </c>
      <c r="N163" s="2">
        <v>0</v>
      </c>
    </row>
    <row r="164" spans="1:14" x14ac:dyDescent="0.3">
      <c r="A164" s="2" t="s">
        <v>556</v>
      </c>
      <c r="B164" s="2" t="s">
        <v>44</v>
      </c>
      <c r="C164" s="2" t="s">
        <v>207</v>
      </c>
      <c r="D164" s="2" t="s">
        <v>557</v>
      </c>
      <c r="E164" s="3">
        <v>45338</v>
      </c>
      <c r="F164" s="2">
        <v>73</v>
      </c>
      <c r="G164" s="3">
        <v>45411</v>
      </c>
      <c r="H164" s="2" t="s">
        <v>236</v>
      </c>
      <c r="I164" s="2">
        <v>174611.44</v>
      </c>
      <c r="J164" s="2">
        <v>122400.89</v>
      </c>
      <c r="K164" s="2">
        <v>117704.16</v>
      </c>
      <c r="L164" s="2">
        <v>62</v>
      </c>
      <c r="M164" s="3">
        <v>45400</v>
      </c>
      <c r="N164" s="2">
        <v>1</v>
      </c>
    </row>
    <row r="165" spans="1:14" x14ac:dyDescent="0.3">
      <c r="A165" s="2" t="s">
        <v>558</v>
      </c>
      <c r="B165" s="2" t="s">
        <v>58</v>
      </c>
      <c r="C165" s="2" t="s">
        <v>198</v>
      </c>
      <c r="D165" s="2" t="s">
        <v>559</v>
      </c>
      <c r="E165" s="3">
        <v>45524</v>
      </c>
      <c r="F165" s="2">
        <v>54</v>
      </c>
      <c r="G165" s="3">
        <v>45578</v>
      </c>
      <c r="H165" s="2" t="s">
        <v>233</v>
      </c>
      <c r="I165" s="2">
        <v>158277.62</v>
      </c>
      <c r="J165" s="2">
        <v>120838.51</v>
      </c>
      <c r="K165" s="2">
        <v>55864.59</v>
      </c>
      <c r="L165" s="2"/>
      <c r="M165" s="2"/>
      <c r="N165" s="2"/>
    </row>
    <row r="166" spans="1:14" x14ac:dyDescent="0.3">
      <c r="A166" s="2" t="s">
        <v>560</v>
      </c>
      <c r="B166" s="2" t="s">
        <v>90</v>
      </c>
      <c r="C166" s="2" t="s">
        <v>207</v>
      </c>
      <c r="D166" s="2" t="s">
        <v>561</v>
      </c>
      <c r="E166" s="3">
        <v>45596</v>
      </c>
      <c r="F166" s="2">
        <v>174</v>
      </c>
      <c r="G166" s="3">
        <v>45770</v>
      </c>
      <c r="H166" s="2" t="s">
        <v>236</v>
      </c>
      <c r="I166" s="2">
        <v>115521.3</v>
      </c>
      <c r="J166" s="2">
        <v>75211.66</v>
      </c>
      <c r="K166" s="2">
        <v>87336.91</v>
      </c>
      <c r="L166" s="2">
        <v>187</v>
      </c>
      <c r="M166" s="3">
        <v>45783</v>
      </c>
      <c r="N166" s="2">
        <v>0</v>
      </c>
    </row>
    <row r="167" spans="1:14" x14ac:dyDescent="0.3">
      <c r="A167" s="2" t="s">
        <v>562</v>
      </c>
      <c r="B167" s="2" t="s">
        <v>104</v>
      </c>
      <c r="C167" s="2" t="s">
        <v>210</v>
      </c>
      <c r="D167" s="2" t="s">
        <v>563</v>
      </c>
      <c r="E167" s="3">
        <v>45817</v>
      </c>
      <c r="F167" s="2">
        <v>42</v>
      </c>
      <c r="G167" s="3">
        <v>45859</v>
      </c>
      <c r="H167" s="2" t="s">
        <v>236</v>
      </c>
      <c r="I167" s="2">
        <v>90784.25</v>
      </c>
      <c r="J167" s="2">
        <v>54957.09</v>
      </c>
      <c r="K167" s="2">
        <v>50294.82</v>
      </c>
      <c r="L167" s="2">
        <v>35</v>
      </c>
      <c r="M167" s="3">
        <v>45852</v>
      </c>
      <c r="N167" s="2">
        <v>1</v>
      </c>
    </row>
    <row r="168" spans="1:14" x14ac:dyDescent="0.3">
      <c r="A168" s="2" t="s">
        <v>564</v>
      </c>
      <c r="B168" s="2" t="s">
        <v>118</v>
      </c>
      <c r="C168" s="2" t="s">
        <v>196</v>
      </c>
      <c r="D168" s="2" t="s">
        <v>565</v>
      </c>
      <c r="E168" s="3">
        <v>45434</v>
      </c>
      <c r="F168" s="2">
        <v>54</v>
      </c>
      <c r="G168" s="3">
        <v>45488</v>
      </c>
      <c r="H168" s="2" t="s">
        <v>233</v>
      </c>
      <c r="I168" s="2">
        <v>117439.24</v>
      </c>
      <c r="J168" s="2">
        <v>72314.22</v>
      </c>
      <c r="K168" s="2">
        <v>54812.26</v>
      </c>
      <c r="L168" s="2"/>
      <c r="M168" s="2"/>
      <c r="N168" s="2"/>
    </row>
    <row r="169" spans="1:14" x14ac:dyDescent="0.3">
      <c r="A169" s="2" t="s">
        <v>566</v>
      </c>
      <c r="B169" s="2" t="s">
        <v>83</v>
      </c>
      <c r="C169" s="2" t="s">
        <v>193</v>
      </c>
      <c r="D169" s="2" t="s">
        <v>567</v>
      </c>
      <c r="E169" s="3">
        <v>45706</v>
      </c>
      <c r="F169" s="2">
        <v>97</v>
      </c>
      <c r="G169" s="3">
        <v>45803</v>
      </c>
      <c r="H169" s="2" t="s">
        <v>236</v>
      </c>
      <c r="I169" s="2">
        <v>106151.6</v>
      </c>
      <c r="J169" s="2">
        <v>79413.61</v>
      </c>
      <c r="K169" s="2">
        <v>91583.41</v>
      </c>
      <c r="L169" s="2">
        <v>114</v>
      </c>
      <c r="M169" s="3">
        <v>45820</v>
      </c>
      <c r="N169" s="2">
        <v>0</v>
      </c>
    </row>
    <row r="170" spans="1:14" x14ac:dyDescent="0.3">
      <c r="A170" s="2" t="s">
        <v>568</v>
      </c>
      <c r="B170" s="2" t="s">
        <v>151</v>
      </c>
      <c r="C170" s="2" t="s">
        <v>213</v>
      </c>
      <c r="D170" s="2" t="s">
        <v>569</v>
      </c>
      <c r="E170" s="3">
        <v>45804</v>
      </c>
      <c r="F170" s="2">
        <v>167</v>
      </c>
      <c r="G170" s="3">
        <v>45971</v>
      </c>
      <c r="H170" s="2" t="s">
        <v>285</v>
      </c>
      <c r="I170" s="2">
        <v>118426.38</v>
      </c>
      <c r="J170" s="2">
        <v>77678.710000000006</v>
      </c>
      <c r="K170" s="2">
        <v>48238.43</v>
      </c>
      <c r="L170" s="2"/>
      <c r="M170" s="2"/>
      <c r="N170" s="2"/>
    </row>
    <row r="171" spans="1:14" x14ac:dyDescent="0.3">
      <c r="A171" s="2" t="s">
        <v>570</v>
      </c>
      <c r="B171" s="2" t="s">
        <v>151</v>
      </c>
      <c r="C171" s="2" t="s">
        <v>196</v>
      </c>
      <c r="D171" s="2" t="s">
        <v>571</v>
      </c>
      <c r="E171" s="3">
        <v>45664</v>
      </c>
      <c r="F171" s="2">
        <v>96</v>
      </c>
      <c r="G171" s="3">
        <v>45760</v>
      </c>
      <c r="H171" s="2" t="s">
        <v>233</v>
      </c>
      <c r="I171" s="2">
        <v>90309.78</v>
      </c>
      <c r="J171" s="2">
        <v>64802.04</v>
      </c>
      <c r="K171" s="2">
        <v>47838.400000000001</v>
      </c>
      <c r="L171" s="2"/>
      <c r="M171" s="2"/>
      <c r="N171" s="2"/>
    </row>
    <row r="172" spans="1:14" x14ac:dyDescent="0.3">
      <c r="A172" s="2" t="s">
        <v>572</v>
      </c>
      <c r="B172" s="2" t="s">
        <v>141</v>
      </c>
      <c r="C172" s="2" t="s">
        <v>210</v>
      </c>
      <c r="D172" s="2" t="s">
        <v>573</v>
      </c>
      <c r="E172" s="3">
        <v>45857</v>
      </c>
      <c r="F172" s="2">
        <v>138</v>
      </c>
      <c r="G172" s="3">
        <v>45995</v>
      </c>
      <c r="H172" s="2" t="s">
        <v>236</v>
      </c>
      <c r="I172" s="2">
        <v>123434.18</v>
      </c>
      <c r="J172" s="2">
        <v>83362.03</v>
      </c>
      <c r="K172" s="2">
        <v>96644.78</v>
      </c>
      <c r="L172" s="2">
        <v>171</v>
      </c>
      <c r="M172" s="3">
        <v>46028</v>
      </c>
      <c r="N172" s="2">
        <v>0</v>
      </c>
    </row>
    <row r="173" spans="1:14" x14ac:dyDescent="0.3">
      <c r="A173" s="2" t="s">
        <v>574</v>
      </c>
      <c r="B173" s="2" t="s">
        <v>53</v>
      </c>
      <c r="C173" s="2" t="s">
        <v>201</v>
      </c>
      <c r="D173" s="2" t="s">
        <v>575</v>
      </c>
      <c r="E173" s="3">
        <v>46177</v>
      </c>
      <c r="F173" s="2">
        <v>175</v>
      </c>
      <c r="G173" s="3">
        <v>46352</v>
      </c>
      <c r="H173" s="2" t="s">
        <v>233</v>
      </c>
      <c r="I173" s="2">
        <v>199914.86</v>
      </c>
      <c r="J173" s="2">
        <v>111938.32</v>
      </c>
      <c r="K173" s="2">
        <v>48402.96</v>
      </c>
      <c r="L173" s="2"/>
      <c r="M173" s="2"/>
      <c r="N173" s="2"/>
    </row>
    <row r="174" spans="1:14" x14ac:dyDescent="0.3">
      <c r="A174" s="2" t="s">
        <v>576</v>
      </c>
      <c r="B174" s="2" t="s">
        <v>139</v>
      </c>
      <c r="C174" s="2" t="s">
        <v>201</v>
      </c>
      <c r="D174" s="2" t="s">
        <v>577</v>
      </c>
      <c r="E174" s="3">
        <v>45550</v>
      </c>
      <c r="F174" s="2">
        <v>140</v>
      </c>
      <c r="G174" s="3">
        <v>45690</v>
      </c>
      <c r="H174" s="2" t="s">
        <v>233</v>
      </c>
      <c r="I174" s="2">
        <v>195827.64</v>
      </c>
      <c r="J174" s="2">
        <v>144538.54999999999</v>
      </c>
      <c r="K174" s="2">
        <v>66018.8</v>
      </c>
      <c r="L174" s="2"/>
      <c r="M174" s="2"/>
      <c r="N174" s="2"/>
    </row>
    <row r="175" spans="1:14" x14ac:dyDescent="0.3">
      <c r="A175" s="2" t="s">
        <v>578</v>
      </c>
      <c r="B175" s="2" t="s">
        <v>38</v>
      </c>
      <c r="C175" s="2" t="s">
        <v>210</v>
      </c>
      <c r="D175" s="2" t="s">
        <v>579</v>
      </c>
      <c r="E175" s="3">
        <v>45947</v>
      </c>
      <c r="F175" s="2">
        <v>140</v>
      </c>
      <c r="G175" s="3">
        <v>46087</v>
      </c>
      <c r="H175" s="2" t="s">
        <v>233</v>
      </c>
      <c r="I175" s="2">
        <v>137072.24</v>
      </c>
      <c r="J175" s="2">
        <v>91337.55</v>
      </c>
      <c r="K175" s="2">
        <v>70362.02</v>
      </c>
      <c r="L175" s="2"/>
      <c r="M175" s="2"/>
      <c r="N175" s="2"/>
    </row>
    <row r="176" spans="1:14" x14ac:dyDescent="0.3">
      <c r="A176" s="2" t="s">
        <v>580</v>
      </c>
      <c r="B176" s="2" t="s">
        <v>86</v>
      </c>
      <c r="C176" s="2" t="s">
        <v>207</v>
      </c>
      <c r="D176" s="2" t="s">
        <v>581</v>
      </c>
      <c r="E176" s="3">
        <v>45762</v>
      </c>
      <c r="F176" s="2">
        <v>63</v>
      </c>
      <c r="G176" s="3">
        <v>45825</v>
      </c>
      <c r="H176" s="2" t="s">
        <v>236</v>
      </c>
      <c r="I176" s="2">
        <v>160191.49</v>
      </c>
      <c r="J176" s="2">
        <v>109856.11</v>
      </c>
      <c r="K176" s="2">
        <v>104164.58</v>
      </c>
      <c r="L176" s="2">
        <v>64</v>
      </c>
      <c r="M176" s="3">
        <v>45826</v>
      </c>
      <c r="N176" s="2">
        <v>0</v>
      </c>
    </row>
    <row r="177" spans="1:14" x14ac:dyDescent="0.3">
      <c r="A177" s="2" t="s">
        <v>582</v>
      </c>
      <c r="B177" s="2" t="s">
        <v>74</v>
      </c>
      <c r="C177" s="2" t="s">
        <v>204</v>
      </c>
      <c r="D177" s="2" t="s">
        <v>583</v>
      </c>
      <c r="E177" s="3">
        <v>45303</v>
      </c>
      <c r="F177" s="2">
        <v>140</v>
      </c>
      <c r="G177" s="3">
        <v>45443</v>
      </c>
      <c r="H177" s="2" t="s">
        <v>236</v>
      </c>
      <c r="I177" s="2">
        <v>96214.11</v>
      </c>
      <c r="J177" s="2">
        <v>65421.27</v>
      </c>
      <c r="K177" s="2">
        <v>74462.27</v>
      </c>
      <c r="L177" s="2">
        <v>155</v>
      </c>
      <c r="M177" s="3">
        <v>45458</v>
      </c>
      <c r="N177" s="2">
        <v>0</v>
      </c>
    </row>
    <row r="178" spans="1:14" x14ac:dyDescent="0.3">
      <c r="A178" s="2" t="s">
        <v>584</v>
      </c>
      <c r="B178" s="2" t="s">
        <v>25</v>
      </c>
      <c r="C178" s="2" t="s">
        <v>204</v>
      </c>
      <c r="D178" s="2" t="s">
        <v>585</v>
      </c>
      <c r="E178" s="3">
        <v>45621</v>
      </c>
      <c r="F178" s="2">
        <v>37</v>
      </c>
      <c r="G178" s="3">
        <v>45658</v>
      </c>
      <c r="H178" s="2" t="s">
        <v>233</v>
      </c>
      <c r="I178" s="2">
        <v>89862.19</v>
      </c>
      <c r="J178" s="2">
        <v>52732.62</v>
      </c>
      <c r="K178" s="2">
        <v>30625.98</v>
      </c>
      <c r="L178" s="2"/>
      <c r="M178" s="2"/>
      <c r="N178" s="2"/>
    </row>
    <row r="179" spans="1:14" x14ac:dyDescent="0.3">
      <c r="A179" s="2" t="s">
        <v>586</v>
      </c>
      <c r="B179" s="2" t="s">
        <v>157</v>
      </c>
      <c r="C179" s="2" t="s">
        <v>207</v>
      </c>
      <c r="D179" s="2" t="s">
        <v>587</v>
      </c>
      <c r="E179" s="3">
        <v>46027</v>
      </c>
      <c r="F179" s="2">
        <v>142</v>
      </c>
      <c r="G179" s="3">
        <v>46169</v>
      </c>
      <c r="H179" s="2" t="s">
        <v>236</v>
      </c>
      <c r="I179" s="2">
        <v>172214.98</v>
      </c>
      <c r="J179" s="2">
        <v>95087.86</v>
      </c>
      <c r="K179" s="2">
        <v>103620.32</v>
      </c>
      <c r="L179" s="2">
        <v>129</v>
      </c>
      <c r="M179" s="3">
        <v>46156</v>
      </c>
      <c r="N179" s="2">
        <v>1</v>
      </c>
    </row>
    <row r="180" spans="1:14" x14ac:dyDescent="0.3">
      <c r="A180" s="2" t="s">
        <v>588</v>
      </c>
      <c r="B180" s="2" t="s">
        <v>125</v>
      </c>
      <c r="C180" s="2" t="s">
        <v>201</v>
      </c>
      <c r="D180" s="2" t="s">
        <v>589</v>
      </c>
      <c r="E180" s="3">
        <v>46075</v>
      </c>
      <c r="F180" s="2">
        <v>112</v>
      </c>
      <c r="G180" s="3">
        <v>46187</v>
      </c>
      <c r="H180" s="2" t="s">
        <v>236</v>
      </c>
      <c r="I180" s="2">
        <v>231004.11</v>
      </c>
      <c r="J180" s="2">
        <v>137892.85999999999</v>
      </c>
      <c r="K180" s="2">
        <v>150567.07999999999</v>
      </c>
      <c r="L180" s="2">
        <v>117</v>
      </c>
      <c r="M180" s="3">
        <v>46192</v>
      </c>
      <c r="N180" s="2">
        <v>0</v>
      </c>
    </row>
    <row r="181" spans="1:14" x14ac:dyDescent="0.3">
      <c r="A181" s="2" t="s">
        <v>590</v>
      </c>
      <c r="B181" s="2" t="s">
        <v>16</v>
      </c>
      <c r="C181" s="2" t="s">
        <v>201</v>
      </c>
      <c r="D181" s="2" t="s">
        <v>591</v>
      </c>
      <c r="E181" s="3">
        <v>45649</v>
      </c>
      <c r="F181" s="2">
        <v>71</v>
      </c>
      <c r="G181" s="3">
        <v>45720</v>
      </c>
      <c r="H181" s="2" t="s">
        <v>236</v>
      </c>
      <c r="I181" s="2">
        <v>163256.65</v>
      </c>
      <c r="J181" s="2">
        <v>112920.81</v>
      </c>
      <c r="K181" s="2">
        <v>109225.69</v>
      </c>
      <c r="L181" s="2">
        <v>62</v>
      </c>
      <c r="M181" s="3">
        <v>45711</v>
      </c>
      <c r="N181" s="2">
        <v>1</v>
      </c>
    </row>
    <row r="182" spans="1:14" x14ac:dyDescent="0.3">
      <c r="A182" s="2" t="s">
        <v>592</v>
      </c>
      <c r="B182" s="2" t="s">
        <v>116</v>
      </c>
      <c r="C182" s="2" t="s">
        <v>213</v>
      </c>
      <c r="D182" s="2" t="s">
        <v>593</v>
      </c>
      <c r="E182" s="3">
        <v>45699</v>
      </c>
      <c r="F182" s="2">
        <v>130</v>
      </c>
      <c r="G182" s="3">
        <v>45829</v>
      </c>
      <c r="H182" s="2" t="s">
        <v>233</v>
      </c>
      <c r="I182" s="2">
        <v>106115.63</v>
      </c>
      <c r="J182" s="2">
        <v>58491.23</v>
      </c>
      <c r="K182" s="2">
        <v>42727.57</v>
      </c>
      <c r="L182" s="2"/>
      <c r="M182" s="2"/>
      <c r="N182" s="2"/>
    </row>
    <row r="183" spans="1:14" x14ac:dyDescent="0.3">
      <c r="A183" s="2" t="s">
        <v>594</v>
      </c>
      <c r="B183" s="2" t="s">
        <v>47</v>
      </c>
      <c r="C183" s="2" t="s">
        <v>201</v>
      </c>
      <c r="D183" s="2" t="s">
        <v>595</v>
      </c>
      <c r="E183" s="3">
        <v>45959</v>
      </c>
      <c r="F183" s="2">
        <v>35</v>
      </c>
      <c r="G183" s="3">
        <v>45994</v>
      </c>
      <c r="H183" s="2" t="s">
        <v>236</v>
      </c>
      <c r="I183" s="2">
        <v>237610.5</v>
      </c>
      <c r="J183" s="2">
        <v>132615.56</v>
      </c>
      <c r="K183" s="2">
        <v>121584.41</v>
      </c>
      <c r="L183" s="2">
        <v>39</v>
      </c>
      <c r="M183" s="3">
        <v>45998</v>
      </c>
      <c r="N183" s="2">
        <v>0</v>
      </c>
    </row>
    <row r="184" spans="1:14" x14ac:dyDescent="0.3">
      <c r="A184" s="2" t="s">
        <v>596</v>
      </c>
      <c r="B184" s="2" t="s">
        <v>86</v>
      </c>
      <c r="C184" s="2" t="s">
        <v>196</v>
      </c>
      <c r="D184" s="2" t="s">
        <v>597</v>
      </c>
      <c r="E184" s="3">
        <v>45664</v>
      </c>
      <c r="F184" s="2">
        <v>55</v>
      </c>
      <c r="G184" s="3">
        <v>45719</v>
      </c>
      <c r="H184" s="2" t="s">
        <v>285</v>
      </c>
      <c r="I184" s="2">
        <v>107073.05</v>
      </c>
      <c r="J184" s="2">
        <v>66941.460000000006</v>
      </c>
      <c r="K184" s="2">
        <v>18371.68</v>
      </c>
      <c r="L184" s="2"/>
      <c r="M184" s="2"/>
      <c r="N184" s="2"/>
    </row>
    <row r="185" spans="1:14" x14ac:dyDescent="0.3">
      <c r="A185" s="2" t="s">
        <v>598</v>
      </c>
      <c r="B185" s="2" t="s">
        <v>163</v>
      </c>
      <c r="C185" s="2" t="s">
        <v>201</v>
      </c>
      <c r="D185" s="2" t="s">
        <v>599</v>
      </c>
      <c r="E185" s="3">
        <v>45299</v>
      </c>
      <c r="F185" s="2">
        <v>93</v>
      </c>
      <c r="G185" s="3">
        <v>45392</v>
      </c>
      <c r="H185" s="2" t="s">
        <v>233</v>
      </c>
      <c r="I185" s="2">
        <v>196613.48</v>
      </c>
      <c r="J185" s="2">
        <v>121957.18</v>
      </c>
      <c r="K185" s="2">
        <v>96141.94</v>
      </c>
      <c r="L185" s="2"/>
      <c r="M185" s="2"/>
      <c r="N185" s="2"/>
    </row>
    <row r="186" spans="1:14" x14ac:dyDescent="0.3">
      <c r="A186" s="2" t="s">
        <v>600</v>
      </c>
      <c r="B186" s="2" t="s">
        <v>58</v>
      </c>
      <c r="C186" s="2" t="s">
        <v>198</v>
      </c>
      <c r="D186" s="2" t="s">
        <v>601</v>
      </c>
      <c r="E186" s="3">
        <v>45413</v>
      </c>
      <c r="F186" s="2">
        <v>88</v>
      </c>
      <c r="G186" s="3">
        <v>45501</v>
      </c>
      <c r="H186" s="2" t="s">
        <v>233</v>
      </c>
      <c r="I186" s="2">
        <v>193190.49</v>
      </c>
      <c r="J186" s="2">
        <v>145631.82</v>
      </c>
      <c r="K186" s="2">
        <v>94154.2</v>
      </c>
      <c r="L186" s="2"/>
      <c r="M186" s="2"/>
      <c r="N186" s="2"/>
    </row>
    <row r="187" spans="1:14" x14ac:dyDescent="0.3">
      <c r="A187" s="2" t="s">
        <v>602</v>
      </c>
      <c r="B187" s="2" t="s">
        <v>151</v>
      </c>
      <c r="C187" s="2" t="s">
        <v>213</v>
      </c>
      <c r="D187" s="2" t="s">
        <v>603</v>
      </c>
      <c r="E187" s="3">
        <v>45639</v>
      </c>
      <c r="F187" s="2">
        <v>138</v>
      </c>
      <c r="G187" s="3">
        <v>45777</v>
      </c>
      <c r="H187" s="2" t="s">
        <v>230</v>
      </c>
      <c r="I187" s="2">
        <v>91208</v>
      </c>
      <c r="J187" s="2">
        <v>58377.77</v>
      </c>
      <c r="K187" s="2">
        <v>24111.66</v>
      </c>
      <c r="L187" s="2">
        <v>42</v>
      </c>
      <c r="M187" s="3">
        <v>45681</v>
      </c>
      <c r="N187" s="2"/>
    </row>
    <row r="188" spans="1:14" x14ac:dyDescent="0.3">
      <c r="A188" s="2" t="s">
        <v>604</v>
      </c>
      <c r="B188" s="2" t="s">
        <v>100</v>
      </c>
      <c r="C188" s="2" t="s">
        <v>193</v>
      </c>
      <c r="D188" s="2" t="s">
        <v>605</v>
      </c>
      <c r="E188" s="3">
        <v>45967</v>
      </c>
      <c r="F188" s="2">
        <v>150</v>
      </c>
      <c r="G188" s="3">
        <v>46117</v>
      </c>
      <c r="H188" s="2" t="s">
        <v>285</v>
      </c>
      <c r="I188" s="2">
        <v>113097.66</v>
      </c>
      <c r="J188" s="2">
        <v>64622.63</v>
      </c>
      <c r="K188" s="2">
        <v>31930.11</v>
      </c>
      <c r="L188" s="2"/>
      <c r="M188" s="2"/>
      <c r="N188" s="2"/>
    </row>
    <row r="189" spans="1:14" x14ac:dyDescent="0.3">
      <c r="A189" s="2" t="s">
        <v>606</v>
      </c>
      <c r="B189" s="2" t="s">
        <v>74</v>
      </c>
      <c r="C189" s="2" t="s">
        <v>201</v>
      </c>
      <c r="D189" s="2" t="s">
        <v>607</v>
      </c>
      <c r="E189" s="3">
        <v>45381</v>
      </c>
      <c r="F189" s="2">
        <v>62</v>
      </c>
      <c r="G189" s="3">
        <v>45443</v>
      </c>
      <c r="H189" s="2" t="s">
        <v>285</v>
      </c>
      <c r="I189" s="2">
        <v>157309.29</v>
      </c>
      <c r="J189" s="2">
        <v>103922.25</v>
      </c>
      <c r="K189" s="2">
        <v>54160.41</v>
      </c>
      <c r="L189" s="2"/>
      <c r="M189" s="2"/>
      <c r="N189" s="2"/>
    </row>
    <row r="190" spans="1:14" x14ac:dyDescent="0.3">
      <c r="A190" s="2" t="s">
        <v>608</v>
      </c>
      <c r="B190" s="2" t="s">
        <v>123</v>
      </c>
      <c r="C190" s="2" t="s">
        <v>207</v>
      </c>
      <c r="D190" s="2" t="s">
        <v>609</v>
      </c>
      <c r="E190" s="3">
        <v>45939</v>
      </c>
      <c r="F190" s="2">
        <v>179</v>
      </c>
      <c r="G190" s="3">
        <v>46118</v>
      </c>
      <c r="H190" s="2" t="s">
        <v>236</v>
      </c>
      <c r="I190" s="2">
        <v>154172.82</v>
      </c>
      <c r="J190" s="2">
        <v>104705.15</v>
      </c>
      <c r="K190" s="2">
        <v>109851.51</v>
      </c>
      <c r="L190" s="2">
        <v>188</v>
      </c>
      <c r="M190" s="3">
        <v>46127</v>
      </c>
      <c r="N190" s="2">
        <v>0</v>
      </c>
    </row>
    <row r="191" spans="1:14" x14ac:dyDescent="0.3">
      <c r="A191" s="2" t="s">
        <v>610</v>
      </c>
      <c r="B191" s="2" t="s">
        <v>157</v>
      </c>
      <c r="C191" s="2" t="s">
        <v>193</v>
      </c>
      <c r="D191" s="2" t="s">
        <v>611</v>
      </c>
      <c r="E191" s="3">
        <v>45989</v>
      </c>
      <c r="F191" s="2">
        <v>50</v>
      </c>
      <c r="G191" s="3">
        <v>46039</v>
      </c>
      <c r="H191" s="2" t="s">
        <v>233</v>
      </c>
      <c r="I191" s="2">
        <v>76378.84</v>
      </c>
      <c r="J191" s="2">
        <v>53891.96</v>
      </c>
      <c r="K191" s="2">
        <v>40553.410000000003</v>
      </c>
      <c r="L191" s="2"/>
      <c r="M191" s="2"/>
      <c r="N191" s="2"/>
    </row>
    <row r="192" spans="1:14" x14ac:dyDescent="0.3">
      <c r="A192" s="2" t="s">
        <v>612</v>
      </c>
      <c r="B192" s="2" t="s">
        <v>133</v>
      </c>
      <c r="C192" s="2" t="s">
        <v>196</v>
      </c>
      <c r="D192" s="2" t="s">
        <v>613</v>
      </c>
      <c r="E192" s="3">
        <v>45607</v>
      </c>
      <c r="F192" s="2">
        <v>99</v>
      </c>
      <c r="G192" s="3">
        <v>45706</v>
      </c>
      <c r="H192" s="2" t="s">
        <v>236</v>
      </c>
      <c r="I192" s="2">
        <v>128836.34</v>
      </c>
      <c r="J192" s="2">
        <v>85624.48</v>
      </c>
      <c r="K192" s="2">
        <v>74435.22</v>
      </c>
      <c r="L192" s="2">
        <v>82</v>
      </c>
      <c r="M192" s="3">
        <v>45689</v>
      </c>
      <c r="N192" s="2">
        <v>1</v>
      </c>
    </row>
    <row r="193" spans="1:14" x14ac:dyDescent="0.3">
      <c r="A193" s="2" t="s">
        <v>614</v>
      </c>
      <c r="B193" s="2" t="s">
        <v>185</v>
      </c>
      <c r="C193" s="2" t="s">
        <v>207</v>
      </c>
      <c r="D193" s="2" t="s">
        <v>615</v>
      </c>
      <c r="E193" s="3">
        <v>45469</v>
      </c>
      <c r="F193" s="2">
        <v>141</v>
      </c>
      <c r="G193" s="3">
        <v>45610</v>
      </c>
      <c r="H193" s="2" t="s">
        <v>236</v>
      </c>
      <c r="I193" s="2">
        <v>131810.87</v>
      </c>
      <c r="J193" s="2">
        <v>82628.92</v>
      </c>
      <c r="K193" s="2">
        <v>89531.3</v>
      </c>
      <c r="L193" s="2">
        <v>162</v>
      </c>
      <c r="M193" s="3">
        <v>45631</v>
      </c>
      <c r="N193" s="2">
        <v>0</v>
      </c>
    </row>
    <row r="194" spans="1:14" x14ac:dyDescent="0.3">
      <c r="A194" s="2" t="s">
        <v>616</v>
      </c>
      <c r="B194" s="2" t="s">
        <v>173</v>
      </c>
      <c r="C194" s="2" t="s">
        <v>193</v>
      </c>
      <c r="D194" s="2" t="s">
        <v>617</v>
      </c>
      <c r="E194" s="3">
        <v>45831</v>
      </c>
      <c r="F194" s="2">
        <v>33</v>
      </c>
      <c r="G194" s="3">
        <v>45864</v>
      </c>
      <c r="H194" s="2" t="s">
        <v>236</v>
      </c>
      <c r="I194" s="2">
        <v>91750.46</v>
      </c>
      <c r="J194" s="2">
        <v>59752.1</v>
      </c>
      <c r="K194" s="2">
        <v>57260.65</v>
      </c>
      <c r="L194" s="2">
        <v>28</v>
      </c>
      <c r="M194" s="3">
        <v>45859</v>
      </c>
      <c r="N194" s="2">
        <v>1</v>
      </c>
    </row>
    <row r="195" spans="1:14" x14ac:dyDescent="0.3">
      <c r="A195" s="2" t="s">
        <v>618</v>
      </c>
      <c r="B195" s="2" t="s">
        <v>50</v>
      </c>
      <c r="C195" s="2" t="s">
        <v>207</v>
      </c>
      <c r="D195" s="2" t="s">
        <v>619</v>
      </c>
      <c r="E195" s="3">
        <v>46023</v>
      </c>
      <c r="F195" s="2">
        <v>123</v>
      </c>
      <c r="G195" s="3">
        <v>46146</v>
      </c>
      <c r="H195" s="2" t="s">
        <v>233</v>
      </c>
      <c r="I195" s="2">
        <v>198758.49</v>
      </c>
      <c r="J195" s="2">
        <v>129158.13</v>
      </c>
      <c r="K195" s="2">
        <v>50927.08</v>
      </c>
      <c r="L195" s="2"/>
      <c r="M195" s="2"/>
      <c r="N195" s="2"/>
    </row>
    <row r="196" spans="1:14" x14ac:dyDescent="0.3">
      <c r="A196" s="2" t="s">
        <v>620</v>
      </c>
      <c r="B196" s="2" t="s">
        <v>125</v>
      </c>
      <c r="C196" s="2" t="s">
        <v>196</v>
      </c>
      <c r="D196" s="2" t="s">
        <v>621</v>
      </c>
      <c r="E196" s="3">
        <v>46160</v>
      </c>
      <c r="F196" s="2">
        <v>104</v>
      </c>
      <c r="G196" s="3">
        <v>46264</v>
      </c>
      <c r="H196" s="2" t="s">
        <v>236</v>
      </c>
      <c r="I196" s="2">
        <v>121617.44</v>
      </c>
      <c r="J196" s="2">
        <v>87467.57</v>
      </c>
      <c r="K196" s="2">
        <v>101281.1</v>
      </c>
      <c r="L196" s="2">
        <v>129</v>
      </c>
      <c r="M196" s="3">
        <v>46289</v>
      </c>
      <c r="N196" s="2">
        <v>0</v>
      </c>
    </row>
    <row r="197" spans="1:14" x14ac:dyDescent="0.3">
      <c r="A197" s="2" t="s">
        <v>622</v>
      </c>
      <c r="B197" s="2" t="s">
        <v>163</v>
      </c>
      <c r="C197" s="2" t="s">
        <v>213</v>
      </c>
      <c r="D197" s="2" t="s">
        <v>623</v>
      </c>
      <c r="E197" s="3">
        <v>45332</v>
      </c>
      <c r="F197" s="2">
        <v>91</v>
      </c>
      <c r="G197" s="3">
        <v>45423</v>
      </c>
      <c r="H197" s="2" t="s">
        <v>233</v>
      </c>
      <c r="I197" s="2">
        <v>69959.839999999997</v>
      </c>
      <c r="J197" s="2">
        <v>48817.27</v>
      </c>
      <c r="K197" s="2">
        <v>27368.14</v>
      </c>
      <c r="L197" s="2"/>
      <c r="M197" s="2"/>
      <c r="N197" s="2"/>
    </row>
    <row r="198" spans="1:14" x14ac:dyDescent="0.3">
      <c r="A198" s="2" t="s">
        <v>624</v>
      </c>
      <c r="B198" s="2" t="s">
        <v>42</v>
      </c>
      <c r="C198" s="2" t="s">
        <v>198</v>
      </c>
      <c r="D198" s="2" t="s">
        <v>625</v>
      </c>
      <c r="E198" s="3">
        <v>46031</v>
      </c>
      <c r="F198" s="2">
        <v>123</v>
      </c>
      <c r="G198" s="3">
        <v>46154</v>
      </c>
      <c r="H198" s="2" t="s">
        <v>285</v>
      </c>
      <c r="I198" s="2">
        <v>177607.84</v>
      </c>
      <c r="J198" s="2">
        <v>102518.32</v>
      </c>
      <c r="K198" s="2">
        <v>41515.040000000001</v>
      </c>
      <c r="L198" s="2"/>
      <c r="M198" s="2"/>
      <c r="N198" s="2"/>
    </row>
    <row r="199" spans="1:14" x14ac:dyDescent="0.3">
      <c r="A199" s="2" t="s">
        <v>626</v>
      </c>
      <c r="B199" s="2" t="s">
        <v>145</v>
      </c>
      <c r="C199" s="2" t="s">
        <v>196</v>
      </c>
      <c r="D199" s="2" t="s">
        <v>627</v>
      </c>
      <c r="E199" s="3">
        <v>45995</v>
      </c>
      <c r="F199" s="2">
        <v>124</v>
      </c>
      <c r="G199" s="3">
        <v>46119</v>
      </c>
      <c r="H199" s="2" t="s">
        <v>233</v>
      </c>
      <c r="I199" s="2">
        <v>124086.76</v>
      </c>
      <c r="J199" s="2">
        <v>92215.64</v>
      </c>
      <c r="K199" s="2">
        <v>49973.17</v>
      </c>
      <c r="L199" s="2"/>
      <c r="M199" s="2"/>
      <c r="N199" s="2"/>
    </row>
    <row r="200" spans="1:14" x14ac:dyDescent="0.3">
      <c r="A200" s="2" t="s">
        <v>628</v>
      </c>
      <c r="B200" s="2" t="s">
        <v>100</v>
      </c>
      <c r="C200" s="2" t="s">
        <v>196</v>
      </c>
      <c r="D200" s="2" t="s">
        <v>629</v>
      </c>
      <c r="E200" s="3">
        <v>45793</v>
      </c>
      <c r="F200" s="2">
        <v>84</v>
      </c>
      <c r="G200" s="3">
        <v>45877</v>
      </c>
      <c r="H200" s="2" t="s">
        <v>233</v>
      </c>
      <c r="I200" s="2">
        <v>155606.99</v>
      </c>
      <c r="J200" s="2">
        <v>92186.18</v>
      </c>
      <c r="K200" s="2">
        <v>48961.71</v>
      </c>
      <c r="L200" s="2"/>
      <c r="M200" s="2"/>
      <c r="N200" s="2"/>
    </row>
    <row r="201" spans="1:14" x14ac:dyDescent="0.3">
      <c r="A201" s="2" t="s">
        <v>630</v>
      </c>
      <c r="B201" s="2" t="s">
        <v>149</v>
      </c>
      <c r="C201" s="2" t="s">
        <v>207</v>
      </c>
      <c r="D201" s="2" t="s">
        <v>631</v>
      </c>
      <c r="E201" s="3">
        <v>45436</v>
      </c>
      <c r="F201" s="2">
        <v>166</v>
      </c>
      <c r="G201" s="3">
        <v>45602</v>
      </c>
      <c r="H201" s="2" t="s">
        <v>233</v>
      </c>
      <c r="I201" s="2">
        <v>200927.04</v>
      </c>
      <c r="J201" s="2">
        <v>125968.71</v>
      </c>
      <c r="K201" s="2">
        <v>45739.03</v>
      </c>
      <c r="L201" s="2"/>
      <c r="M201" s="2"/>
      <c r="N201" s="2"/>
    </row>
    <row r="202" spans="1:14" x14ac:dyDescent="0.3">
      <c r="A202" s="2" t="s">
        <v>632</v>
      </c>
      <c r="B202" s="2" t="s">
        <v>112</v>
      </c>
      <c r="C202" s="2" t="s">
        <v>213</v>
      </c>
      <c r="D202" s="2" t="s">
        <v>633</v>
      </c>
      <c r="E202" s="3">
        <v>45492</v>
      </c>
      <c r="F202" s="2">
        <v>160</v>
      </c>
      <c r="G202" s="3">
        <v>45652</v>
      </c>
      <c r="H202" s="2" t="s">
        <v>230</v>
      </c>
      <c r="I202" s="2">
        <v>103099.5</v>
      </c>
      <c r="J202" s="2">
        <v>63788.37</v>
      </c>
      <c r="K202" s="2">
        <v>13821.89</v>
      </c>
      <c r="L202" s="2">
        <v>91</v>
      </c>
      <c r="M202" s="3">
        <v>45583</v>
      </c>
      <c r="N202" s="2"/>
    </row>
    <row r="203" spans="1:14" x14ac:dyDescent="0.3">
      <c r="A203" s="2" t="s">
        <v>634</v>
      </c>
      <c r="B203" s="2" t="s">
        <v>167</v>
      </c>
      <c r="C203" s="2" t="s">
        <v>210</v>
      </c>
      <c r="D203" s="2" t="s">
        <v>635</v>
      </c>
      <c r="E203" s="3">
        <v>46015</v>
      </c>
      <c r="F203" s="2">
        <v>60</v>
      </c>
      <c r="G203" s="3">
        <v>46075</v>
      </c>
      <c r="H203" s="2" t="s">
        <v>233</v>
      </c>
      <c r="I203" s="2">
        <v>97750.93</v>
      </c>
      <c r="J203" s="2">
        <v>63422.87</v>
      </c>
      <c r="K203" s="2">
        <v>49873.53</v>
      </c>
      <c r="L203" s="2"/>
      <c r="M203" s="2"/>
      <c r="N203" s="2"/>
    </row>
    <row r="204" spans="1:14" x14ac:dyDescent="0.3">
      <c r="A204" s="2" t="s">
        <v>636</v>
      </c>
      <c r="B204" s="2" t="s">
        <v>104</v>
      </c>
      <c r="C204" s="2" t="s">
        <v>204</v>
      </c>
      <c r="D204" s="2" t="s">
        <v>637</v>
      </c>
      <c r="E204" s="3">
        <v>45752</v>
      </c>
      <c r="F204" s="2">
        <v>69</v>
      </c>
      <c r="G204" s="3">
        <v>45821</v>
      </c>
      <c r="H204" s="2" t="s">
        <v>233</v>
      </c>
      <c r="I204" s="2">
        <v>64320.01</v>
      </c>
      <c r="J204" s="2">
        <v>47249.99</v>
      </c>
      <c r="K204" s="2">
        <v>27362.16</v>
      </c>
      <c r="L204" s="2"/>
      <c r="M204" s="2"/>
      <c r="N204" s="2"/>
    </row>
    <row r="205" spans="1:14" x14ac:dyDescent="0.3">
      <c r="A205" s="2" t="s">
        <v>638</v>
      </c>
      <c r="B205" s="2" t="s">
        <v>139</v>
      </c>
      <c r="C205" s="2" t="s">
        <v>201</v>
      </c>
      <c r="D205" s="2" t="s">
        <v>639</v>
      </c>
      <c r="E205" s="3">
        <v>46023</v>
      </c>
      <c r="F205" s="2">
        <v>65</v>
      </c>
      <c r="G205" s="3">
        <v>46088</v>
      </c>
      <c r="H205" s="2" t="s">
        <v>230</v>
      </c>
      <c r="I205" s="2">
        <v>195910.14</v>
      </c>
      <c r="J205" s="2">
        <v>129512.83</v>
      </c>
      <c r="K205" s="2">
        <v>17648.8</v>
      </c>
      <c r="L205" s="2">
        <v>10</v>
      </c>
      <c r="M205" s="3">
        <v>46033</v>
      </c>
      <c r="N205" s="2"/>
    </row>
    <row r="206" spans="1:14" x14ac:dyDescent="0.3">
      <c r="A206" s="2" t="s">
        <v>640</v>
      </c>
      <c r="B206" s="2" t="s">
        <v>153</v>
      </c>
      <c r="C206" s="2" t="s">
        <v>201</v>
      </c>
      <c r="D206" s="2" t="s">
        <v>641</v>
      </c>
      <c r="E206" s="3">
        <v>46043</v>
      </c>
      <c r="F206" s="2">
        <v>35</v>
      </c>
      <c r="G206" s="3">
        <v>46078</v>
      </c>
      <c r="H206" s="2" t="s">
        <v>230</v>
      </c>
      <c r="I206" s="2">
        <v>178910.41</v>
      </c>
      <c r="J206" s="2">
        <v>116376.87</v>
      </c>
      <c r="K206" s="2">
        <v>51727.28</v>
      </c>
      <c r="L206" s="2">
        <v>16</v>
      </c>
      <c r="M206" s="3">
        <v>46059</v>
      </c>
      <c r="N206" s="2"/>
    </row>
    <row r="207" spans="1:14" x14ac:dyDescent="0.3">
      <c r="A207" s="2" t="s">
        <v>642</v>
      </c>
      <c r="B207" s="2" t="s">
        <v>118</v>
      </c>
      <c r="C207" s="2" t="s">
        <v>198</v>
      </c>
      <c r="D207" s="2" t="s">
        <v>643</v>
      </c>
      <c r="E207" s="3">
        <v>46200</v>
      </c>
      <c r="F207" s="2">
        <v>95</v>
      </c>
      <c r="G207" s="3">
        <v>46295</v>
      </c>
      <c r="H207" s="2" t="s">
        <v>236</v>
      </c>
      <c r="I207" s="2">
        <v>194585.35</v>
      </c>
      <c r="J207" s="2">
        <v>114133.82</v>
      </c>
      <c r="K207" s="2">
        <v>102111.74</v>
      </c>
      <c r="L207" s="2">
        <v>102</v>
      </c>
      <c r="M207" s="3">
        <v>46302</v>
      </c>
      <c r="N207" s="2">
        <v>0</v>
      </c>
    </row>
    <row r="208" spans="1:14" x14ac:dyDescent="0.3">
      <c r="A208" s="2" t="s">
        <v>644</v>
      </c>
      <c r="B208" s="2" t="s">
        <v>40</v>
      </c>
      <c r="C208" s="2" t="s">
        <v>198</v>
      </c>
      <c r="D208" s="2" t="s">
        <v>645</v>
      </c>
      <c r="E208" s="3">
        <v>45849</v>
      </c>
      <c r="F208" s="2">
        <v>104</v>
      </c>
      <c r="G208" s="3">
        <v>45953</v>
      </c>
      <c r="H208" s="2" t="s">
        <v>236</v>
      </c>
      <c r="I208" s="2">
        <v>163595.26999999999</v>
      </c>
      <c r="J208" s="2">
        <v>125971.85</v>
      </c>
      <c r="K208" s="2">
        <v>109447.88</v>
      </c>
      <c r="L208" s="2">
        <v>86</v>
      </c>
      <c r="M208" s="3">
        <v>45935</v>
      </c>
      <c r="N208" s="2">
        <v>1</v>
      </c>
    </row>
    <row r="209" spans="1:21" x14ac:dyDescent="0.3">
      <c r="A209" s="2" t="s">
        <v>646</v>
      </c>
      <c r="B209" s="2" t="s">
        <v>151</v>
      </c>
      <c r="C209" s="2" t="s">
        <v>201</v>
      </c>
      <c r="D209" s="2" t="s">
        <v>647</v>
      </c>
      <c r="E209" s="3">
        <v>45838</v>
      </c>
      <c r="F209" s="2">
        <v>33</v>
      </c>
      <c r="G209" s="3">
        <v>45871</v>
      </c>
      <c r="H209" s="2" t="s">
        <v>236</v>
      </c>
      <c r="I209" s="2">
        <v>228586.56</v>
      </c>
      <c r="J209" s="2">
        <v>140558.57</v>
      </c>
      <c r="K209" s="2">
        <v>130930.73</v>
      </c>
      <c r="L209" s="2">
        <v>30</v>
      </c>
      <c r="M209" s="3">
        <v>45868</v>
      </c>
      <c r="N209" s="2">
        <v>1</v>
      </c>
    </row>
    <row r="210" spans="1:21" x14ac:dyDescent="0.3">
      <c r="A210" s="2" t="s">
        <v>648</v>
      </c>
      <c r="B210" s="2" t="s">
        <v>181</v>
      </c>
      <c r="C210" s="2" t="s">
        <v>204</v>
      </c>
      <c r="D210" s="2" t="s">
        <v>649</v>
      </c>
      <c r="E210" s="3">
        <v>45544</v>
      </c>
      <c r="F210" s="2">
        <v>108</v>
      </c>
      <c r="G210" s="3">
        <v>45652</v>
      </c>
      <c r="H210" s="2" t="s">
        <v>236</v>
      </c>
      <c r="I210" s="2">
        <v>66512.23</v>
      </c>
      <c r="J210" s="2">
        <v>40741.96</v>
      </c>
      <c r="K210" s="2">
        <v>40677.35</v>
      </c>
      <c r="L210" s="2">
        <v>123</v>
      </c>
      <c r="M210" s="3">
        <v>45667</v>
      </c>
      <c r="N210" s="2">
        <v>0</v>
      </c>
    </row>
    <row r="211" spans="1:21" x14ac:dyDescent="0.3">
      <c r="A211" s="2" t="s">
        <v>650</v>
      </c>
      <c r="B211" s="2" t="s">
        <v>74</v>
      </c>
      <c r="C211" s="2" t="s">
        <v>201</v>
      </c>
      <c r="D211" s="2" t="s">
        <v>651</v>
      </c>
      <c r="E211" s="3">
        <v>45681</v>
      </c>
      <c r="F211" s="2">
        <v>163</v>
      </c>
      <c r="G211" s="3">
        <v>45844</v>
      </c>
      <c r="H211" s="2" t="s">
        <v>233</v>
      </c>
      <c r="I211" s="2">
        <v>194547.67</v>
      </c>
      <c r="J211" s="2">
        <v>141755.88</v>
      </c>
      <c r="K211" s="2">
        <v>54247.58</v>
      </c>
      <c r="L211" s="2"/>
      <c r="M211" s="2"/>
      <c r="N211" s="2"/>
    </row>
    <row r="212" spans="1:21" x14ac:dyDescent="0.3">
      <c r="A212" s="2" t="s">
        <v>652</v>
      </c>
      <c r="B212" s="2" t="s">
        <v>169</v>
      </c>
      <c r="C212" s="2" t="s">
        <v>210</v>
      </c>
      <c r="D212" s="2" t="s">
        <v>653</v>
      </c>
      <c r="E212" s="3">
        <v>45885</v>
      </c>
      <c r="F212" s="2">
        <v>147</v>
      </c>
      <c r="G212" s="3">
        <v>46032</v>
      </c>
      <c r="H212" s="2" t="s">
        <v>233</v>
      </c>
      <c r="I212" s="2">
        <v>141482.04999999999</v>
      </c>
      <c r="J212" s="2">
        <v>79853.919999999998</v>
      </c>
      <c r="K212" s="2">
        <v>64140.160000000003</v>
      </c>
      <c r="L212" s="2"/>
      <c r="M212" s="2"/>
      <c r="N212" s="2"/>
    </row>
    <row r="213" spans="1:21" x14ac:dyDescent="0.3">
      <c r="A213" s="2" t="s">
        <v>654</v>
      </c>
      <c r="B213" s="2" t="s">
        <v>131</v>
      </c>
      <c r="C213" s="2" t="s">
        <v>204</v>
      </c>
      <c r="D213" s="2" t="s">
        <v>655</v>
      </c>
      <c r="E213" s="3">
        <v>46174</v>
      </c>
      <c r="F213" s="2">
        <v>142</v>
      </c>
      <c r="G213" s="3">
        <v>46316</v>
      </c>
      <c r="H213" s="2" t="s">
        <v>285</v>
      </c>
      <c r="I213" s="2">
        <v>69784.100000000006</v>
      </c>
      <c r="J213" s="2">
        <v>40616.19</v>
      </c>
      <c r="K213" s="2">
        <v>18935.689999999999</v>
      </c>
      <c r="L213" s="2"/>
      <c r="M213" s="2"/>
      <c r="N213" s="2"/>
    </row>
    <row r="214" spans="1:21" x14ac:dyDescent="0.3">
      <c r="A214" s="2" t="s">
        <v>656</v>
      </c>
      <c r="B214" s="2" t="s">
        <v>21</v>
      </c>
      <c r="C214" s="2" t="s">
        <v>198</v>
      </c>
      <c r="D214" s="2" t="s">
        <v>657</v>
      </c>
      <c r="E214" s="3">
        <v>45547</v>
      </c>
      <c r="F214" s="2">
        <v>123</v>
      </c>
      <c r="G214" s="3">
        <v>45670</v>
      </c>
      <c r="H214" s="2" t="s">
        <v>236</v>
      </c>
      <c r="I214" s="2">
        <v>85704.76</v>
      </c>
      <c r="J214" s="2">
        <v>64875.22</v>
      </c>
      <c r="K214" s="2">
        <v>69354.89</v>
      </c>
      <c r="L214" s="2">
        <v>99</v>
      </c>
      <c r="M214" s="3">
        <v>45646</v>
      </c>
      <c r="N214" s="2">
        <v>1</v>
      </c>
    </row>
    <row r="215" spans="1:21" x14ac:dyDescent="0.3">
      <c r="A215" s="2" t="s">
        <v>658</v>
      </c>
      <c r="B215" s="2" t="s">
        <v>145</v>
      </c>
      <c r="C215" s="2" t="s">
        <v>193</v>
      </c>
      <c r="D215" s="2" t="s">
        <v>659</v>
      </c>
      <c r="E215" s="3">
        <v>46000</v>
      </c>
      <c r="F215" s="2">
        <v>91</v>
      </c>
      <c r="G215" s="3">
        <v>46091</v>
      </c>
      <c r="H215" s="2" t="s">
        <v>285</v>
      </c>
      <c r="I215" s="2">
        <v>69672.509999999995</v>
      </c>
      <c r="J215" s="2">
        <v>53757.97</v>
      </c>
      <c r="K215" s="2">
        <v>25808.35</v>
      </c>
      <c r="L215" s="2"/>
      <c r="M215" s="2"/>
      <c r="N215" s="2"/>
    </row>
    <row r="216" spans="1:21" x14ac:dyDescent="0.3">
      <c r="A216" s="2" t="s">
        <v>660</v>
      </c>
      <c r="B216" s="2" t="s">
        <v>171</v>
      </c>
      <c r="C216" s="2" t="s">
        <v>207</v>
      </c>
      <c r="D216" s="2" t="s">
        <v>661</v>
      </c>
      <c r="E216" s="3">
        <v>46106</v>
      </c>
      <c r="F216" s="2">
        <v>108</v>
      </c>
      <c r="G216" s="3">
        <v>46214</v>
      </c>
      <c r="H216" s="2" t="s">
        <v>233</v>
      </c>
      <c r="I216" s="2">
        <v>98435.99</v>
      </c>
      <c r="J216" s="2">
        <v>70685.78</v>
      </c>
      <c r="K216" s="2">
        <v>59421.9</v>
      </c>
      <c r="L216" s="2"/>
      <c r="M216" s="2"/>
      <c r="N216" s="2"/>
    </row>
    <row r="217" spans="1:21" x14ac:dyDescent="0.3">
      <c r="A217" s="2" t="s">
        <v>662</v>
      </c>
      <c r="B217" s="2" t="s">
        <v>62</v>
      </c>
      <c r="C217" s="2" t="s">
        <v>210</v>
      </c>
      <c r="D217" s="2" t="s">
        <v>663</v>
      </c>
      <c r="E217" s="3">
        <v>45741</v>
      </c>
      <c r="F217" s="2">
        <v>165</v>
      </c>
      <c r="G217" s="3">
        <v>45906</v>
      </c>
      <c r="H217" s="2" t="s">
        <v>233</v>
      </c>
      <c r="I217" s="2">
        <v>141377.35</v>
      </c>
      <c r="J217" s="2">
        <v>86099.07</v>
      </c>
      <c r="K217" s="2">
        <v>58296.59</v>
      </c>
      <c r="L217" s="2"/>
      <c r="M217" s="2"/>
      <c r="N217" s="2"/>
    </row>
    <row r="218" spans="1:21" x14ac:dyDescent="0.3">
      <c r="A218" s="2" t="s">
        <v>664</v>
      </c>
      <c r="B218" s="2" t="s">
        <v>153</v>
      </c>
      <c r="C218" s="2" t="s">
        <v>210</v>
      </c>
      <c r="D218" s="2" t="s">
        <v>665</v>
      </c>
      <c r="E218" s="3">
        <v>45301</v>
      </c>
      <c r="F218" s="2">
        <v>55</v>
      </c>
      <c r="G218" s="3">
        <v>45356</v>
      </c>
      <c r="H218" s="2" t="s">
        <v>285</v>
      </c>
      <c r="I218" s="2">
        <v>170333.24</v>
      </c>
      <c r="J218" s="2">
        <v>111858.6</v>
      </c>
      <c r="K218" s="2">
        <v>76735.3</v>
      </c>
      <c r="L218" s="2"/>
      <c r="M218" s="2"/>
      <c r="N218" s="2"/>
    </row>
    <row r="219" spans="1:21" x14ac:dyDescent="0.3">
      <c r="A219" s="2" t="s">
        <v>666</v>
      </c>
      <c r="B219" s="2" t="s">
        <v>135</v>
      </c>
      <c r="C219" s="2" t="s">
        <v>213</v>
      </c>
      <c r="D219" s="2" t="s">
        <v>667</v>
      </c>
      <c r="E219" s="3">
        <v>46115</v>
      </c>
      <c r="F219" s="2">
        <v>73</v>
      </c>
      <c r="G219" s="3">
        <v>46188</v>
      </c>
      <c r="H219" s="2" t="s">
        <v>233</v>
      </c>
      <c r="I219" s="2">
        <v>70155.199999999997</v>
      </c>
      <c r="J219" s="2">
        <v>48404.37</v>
      </c>
      <c r="K219" s="2">
        <v>25400.35</v>
      </c>
      <c r="L219" s="2"/>
      <c r="M219" s="2"/>
      <c r="N219" s="2"/>
    </row>
    <row r="220" spans="1:21" x14ac:dyDescent="0.3">
      <c r="A220" s="2" t="s">
        <v>668</v>
      </c>
      <c r="B220" s="2" t="s">
        <v>175</v>
      </c>
      <c r="C220" s="2" t="s">
        <v>198</v>
      </c>
      <c r="D220" s="2" t="s">
        <v>669</v>
      </c>
      <c r="E220" s="3">
        <v>46089</v>
      </c>
      <c r="F220" s="2">
        <v>162</v>
      </c>
      <c r="G220" s="3">
        <v>46251</v>
      </c>
      <c r="H220" s="2" t="s">
        <v>236</v>
      </c>
      <c r="I220" s="2">
        <v>117374.58</v>
      </c>
      <c r="J220" s="2">
        <v>87519.38</v>
      </c>
      <c r="K220" s="2">
        <v>89507.73</v>
      </c>
      <c r="L220" s="2">
        <v>170</v>
      </c>
      <c r="M220" s="3">
        <v>46259</v>
      </c>
      <c r="N220" s="2">
        <v>0</v>
      </c>
    </row>
    <row r="221" spans="1:21" x14ac:dyDescent="0.3">
      <c r="A221" s="2" t="s">
        <v>670</v>
      </c>
      <c r="B221" s="2" t="s">
        <v>141</v>
      </c>
      <c r="C221" s="2" t="s">
        <v>198</v>
      </c>
      <c r="D221" s="2" t="s">
        <v>671</v>
      </c>
      <c r="E221" s="3">
        <v>45533</v>
      </c>
      <c r="F221" s="2">
        <v>99</v>
      </c>
      <c r="G221" s="3">
        <v>45632</v>
      </c>
      <c r="H221" s="2" t="s">
        <v>285</v>
      </c>
      <c r="I221" s="2">
        <v>115044.22</v>
      </c>
      <c r="J221" s="2">
        <v>66311.13</v>
      </c>
      <c r="K221" s="2">
        <v>41780.639999999999</v>
      </c>
      <c r="L221" s="2"/>
      <c r="M221" s="2"/>
      <c r="N221" s="2"/>
    </row>
    <row r="222" spans="1:21" x14ac:dyDescent="0.3">
      <c r="A222" s="2" t="s">
        <v>228</v>
      </c>
      <c r="B222" s="2" t="s">
        <v>161</v>
      </c>
      <c r="C222" s="2" t="s">
        <v>196</v>
      </c>
      <c r="D222" s="2" t="s">
        <v>229</v>
      </c>
      <c r="E222" s="12">
        <v>45387</v>
      </c>
      <c r="F222" s="2">
        <v>138</v>
      </c>
      <c r="G222" s="12">
        <v>45525</v>
      </c>
      <c r="H222" s="2" t="s">
        <v>230</v>
      </c>
      <c r="I222" s="2">
        <v>96564.17</v>
      </c>
      <c r="J222" s="2"/>
      <c r="K222" s="2"/>
      <c r="L222" s="2"/>
      <c r="M222" s="12"/>
    </row>
    <row r="223" spans="1:21" x14ac:dyDescent="0.3">
      <c r="A223" s="2" t="s">
        <v>231</v>
      </c>
      <c r="B223" s="2" t="s">
        <v>42</v>
      </c>
      <c r="C223" s="2" t="s">
        <v>193</v>
      </c>
      <c r="D223" s="2" t="s">
        <v>232</v>
      </c>
      <c r="E223" s="12">
        <v>45955</v>
      </c>
      <c r="F223" s="2">
        <v>34</v>
      </c>
      <c r="G223" s="12">
        <v>45989</v>
      </c>
      <c r="H223" s="2" t="s">
        <v>233</v>
      </c>
      <c r="I223" s="2">
        <v>127246.91</v>
      </c>
      <c r="J223" s="2"/>
      <c r="K223" s="2"/>
      <c r="P223" s="2"/>
      <c r="S223" s="2"/>
    </row>
    <row r="224" spans="1:21" x14ac:dyDescent="0.3">
      <c r="A224" s="2" t="s">
        <v>234</v>
      </c>
      <c r="B224" s="2" t="s">
        <v>62</v>
      </c>
      <c r="C224" s="2" t="s">
        <v>193</v>
      </c>
      <c r="D224" s="2" t="s">
        <v>235</v>
      </c>
      <c r="E224" s="12">
        <v>45954</v>
      </c>
      <c r="F224" s="2">
        <v>148</v>
      </c>
      <c r="G224" s="12">
        <v>46102</v>
      </c>
      <c r="H224" s="2" t="s">
        <v>236</v>
      </c>
      <c r="I224" s="2">
        <v>102843</v>
      </c>
      <c r="J224" s="2"/>
      <c r="K224" s="2"/>
      <c r="L224" s="2"/>
      <c r="M224" s="12"/>
      <c r="N224" s="2"/>
      <c r="P224" s="2"/>
      <c r="Q224" s="2"/>
      <c r="S224" s="2"/>
      <c r="T224" s="2"/>
      <c r="U224" s="2"/>
    </row>
    <row r="225" spans="1:21" x14ac:dyDescent="0.3">
      <c r="A225" s="2" t="s">
        <v>237</v>
      </c>
      <c r="B225" s="2" t="s">
        <v>25</v>
      </c>
      <c r="C225" s="2" t="s">
        <v>196</v>
      </c>
      <c r="D225" s="2" t="s">
        <v>238</v>
      </c>
      <c r="E225" s="12">
        <v>45481</v>
      </c>
      <c r="F225" s="2">
        <v>62</v>
      </c>
      <c r="G225" s="12">
        <v>45543</v>
      </c>
      <c r="H225" s="2" t="s">
        <v>233</v>
      </c>
      <c r="I225" s="2">
        <v>133892.88</v>
      </c>
      <c r="J225" s="2"/>
      <c r="K225" s="2"/>
      <c r="P225" s="2"/>
      <c r="Q225" s="2"/>
      <c r="S225" s="2"/>
      <c r="T225" s="2"/>
      <c r="U225" s="2"/>
    </row>
    <row r="226" spans="1:21" x14ac:dyDescent="0.3">
      <c r="A226" s="2" t="s">
        <v>239</v>
      </c>
      <c r="B226" s="2" t="s">
        <v>100</v>
      </c>
      <c r="C226" s="2" t="s">
        <v>198</v>
      </c>
      <c r="D226" s="2" t="s">
        <v>240</v>
      </c>
      <c r="E226" s="12">
        <v>46027</v>
      </c>
      <c r="F226" s="2">
        <v>147</v>
      </c>
      <c r="G226" s="12">
        <v>46174</v>
      </c>
      <c r="H226" s="2" t="s">
        <v>233</v>
      </c>
      <c r="I226" s="2">
        <v>160026.20000000001</v>
      </c>
      <c r="J226" s="2"/>
      <c r="K226" s="2"/>
      <c r="P226" s="2"/>
      <c r="Q226" s="2"/>
      <c r="S226" s="2"/>
      <c r="T226" s="2"/>
      <c r="U226" s="2"/>
    </row>
    <row r="227" spans="1:21" x14ac:dyDescent="0.3">
      <c r="A227" s="2" t="s">
        <v>241</v>
      </c>
      <c r="B227" s="2" t="s">
        <v>102</v>
      </c>
      <c r="C227" s="2" t="s">
        <v>213</v>
      </c>
      <c r="D227" s="2" t="s">
        <v>242</v>
      </c>
      <c r="E227" s="12">
        <v>45328</v>
      </c>
      <c r="F227" s="2">
        <v>94</v>
      </c>
      <c r="G227" s="12">
        <v>45422</v>
      </c>
      <c r="H227" s="2" t="s">
        <v>233</v>
      </c>
      <c r="I227" s="2">
        <v>97818.13</v>
      </c>
      <c r="J227" s="2"/>
      <c r="K227" s="2"/>
      <c r="P227" s="2"/>
      <c r="Q227" s="2"/>
      <c r="S227" s="2"/>
      <c r="T227" s="2"/>
      <c r="U227" s="2"/>
    </row>
    <row r="228" spans="1:21" x14ac:dyDescent="0.3">
      <c r="A228" s="2" t="s">
        <v>243</v>
      </c>
      <c r="B228" s="2" t="s">
        <v>36</v>
      </c>
      <c r="C228" s="2" t="s">
        <v>207</v>
      </c>
      <c r="D228" s="2" t="s">
        <v>244</v>
      </c>
      <c r="E228" s="12">
        <v>46071</v>
      </c>
      <c r="F228" s="2">
        <v>175</v>
      </c>
      <c r="G228" s="12">
        <v>46246</v>
      </c>
      <c r="H228" s="2" t="s">
        <v>233</v>
      </c>
      <c r="I228" s="2">
        <v>148495.66</v>
      </c>
      <c r="J228" s="2"/>
      <c r="K228" s="2"/>
      <c r="P228" s="2"/>
      <c r="Q228" s="2"/>
      <c r="S228" s="2"/>
      <c r="T228" s="2"/>
      <c r="U228" s="2"/>
    </row>
    <row r="229" spans="1:21" x14ac:dyDescent="0.3">
      <c r="A229" s="2" t="s">
        <v>245</v>
      </c>
      <c r="B229" s="2" t="s">
        <v>133</v>
      </c>
      <c r="C229" s="2" t="s">
        <v>204</v>
      </c>
      <c r="D229" s="2" t="s">
        <v>246</v>
      </c>
      <c r="E229" s="12">
        <v>45660</v>
      </c>
      <c r="F229" s="2">
        <v>40</v>
      </c>
      <c r="G229" s="12">
        <v>45700</v>
      </c>
      <c r="H229" s="2" t="s">
        <v>236</v>
      </c>
      <c r="I229" s="2">
        <v>73747.429999999993</v>
      </c>
      <c r="J229" s="2"/>
      <c r="K229" s="2"/>
      <c r="L229" s="2"/>
      <c r="M229" s="12"/>
      <c r="N229" s="2"/>
      <c r="S229" s="2"/>
      <c r="T229" s="2"/>
      <c r="U229" s="2"/>
    </row>
    <row r="230" spans="1:21" x14ac:dyDescent="0.3">
      <c r="A230" s="2" t="s">
        <v>247</v>
      </c>
      <c r="B230" s="2" t="s">
        <v>114</v>
      </c>
      <c r="C230" s="2" t="s">
        <v>204</v>
      </c>
      <c r="D230" s="2" t="s">
        <v>248</v>
      </c>
      <c r="E230" s="12">
        <v>45986</v>
      </c>
      <c r="F230" s="2">
        <v>114</v>
      </c>
      <c r="G230" s="12">
        <v>46100</v>
      </c>
      <c r="H230" s="2" t="s">
        <v>236</v>
      </c>
      <c r="I230" s="2">
        <v>84637.74</v>
      </c>
      <c r="J230" s="2"/>
      <c r="K230" s="2"/>
      <c r="L230" s="2"/>
      <c r="M230" s="12"/>
      <c r="N230" s="2"/>
      <c r="S230" s="2"/>
      <c r="T230" s="2"/>
      <c r="U230" s="2"/>
    </row>
    <row r="231" spans="1:21" x14ac:dyDescent="0.3">
      <c r="A231" s="2" t="s">
        <v>249</v>
      </c>
      <c r="B231" s="2" t="s">
        <v>72</v>
      </c>
      <c r="C231" s="2" t="s">
        <v>207</v>
      </c>
      <c r="D231" s="2" t="s">
        <v>250</v>
      </c>
      <c r="E231" s="12">
        <v>45816</v>
      </c>
      <c r="F231" s="2">
        <v>55</v>
      </c>
      <c r="G231" s="12">
        <v>45871</v>
      </c>
      <c r="H231" s="2" t="s">
        <v>230</v>
      </c>
      <c r="I231" s="2">
        <v>138681.79999999999</v>
      </c>
      <c r="J231" s="2"/>
      <c r="K231" s="2"/>
      <c r="L231" s="2"/>
      <c r="M231" s="12"/>
      <c r="P231" s="2"/>
      <c r="S231" s="2"/>
      <c r="T231" s="2"/>
      <c r="U231" s="2"/>
    </row>
    <row r="232" spans="1:21" x14ac:dyDescent="0.3">
      <c r="A232" s="2" t="s">
        <v>251</v>
      </c>
      <c r="B232" s="2" t="s">
        <v>175</v>
      </c>
      <c r="C232" s="2" t="s">
        <v>210</v>
      </c>
      <c r="D232" s="2" t="s">
        <v>252</v>
      </c>
      <c r="E232" s="12">
        <v>45570</v>
      </c>
      <c r="F232" s="2">
        <v>92</v>
      </c>
      <c r="G232" s="12">
        <v>45662</v>
      </c>
      <c r="H232" s="2" t="s">
        <v>236</v>
      </c>
      <c r="I232" s="2">
        <v>176189.5</v>
      </c>
      <c r="J232" s="2"/>
      <c r="K232" s="2"/>
      <c r="L232" s="2"/>
      <c r="M232" s="12"/>
      <c r="N232" s="2"/>
      <c r="P232" s="2"/>
      <c r="Q232" s="2"/>
      <c r="S232" s="2"/>
      <c r="T232" s="2"/>
      <c r="U232" s="2"/>
    </row>
    <row r="233" spans="1:21" x14ac:dyDescent="0.3">
      <c r="A233" s="2" t="s">
        <v>253</v>
      </c>
      <c r="B233" s="2" t="s">
        <v>86</v>
      </c>
      <c r="C233" s="2" t="s">
        <v>210</v>
      </c>
      <c r="D233" s="2" t="s">
        <v>254</v>
      </c>
      <c r="E233" s="12">
        <v>45508</v>
      </c>
      <c r="F233" s="2">
        <v>115</v>
      </c>
      <c r="G233" s="12">
        <v>45623</v>
      </c>
      <c r="H233" s="2" t="s">
        <v>233</v>
      </c>
      <c r="I233" s="2">
        <v>181384.5</v>
      </c>
      <c r="J233" s="2"/>
      <c r="K233" s="2"/>
      <c r="P233" s="2"/>
      <c r="Q233" s="2"/>
    </row>
    <row r="234" spans="1:21" x14ac:dyDescent="0.3">
      <c r="A234" s="2" t="s">
        <v>255</v>
      </c>
      <c r="B234" s="2" t="s">
        <v>145</v>
      </c>
      <c r="C234" s="2" t="s">
        <v>193</v>
      </c>
      <c r="D234" s="2" t="s">
        <v>256</v>
      </c>
      <c r="E234" s="12">
        <v>46158</v>
      </c>
      <c r="F234" s="2">
        <v>88</v>
      </c>
      <c r="G234" s="12">
        <v>46246</v>
      </c>
      <c r="H234" s="2" t="s">
        <v>236</v>
      </c>
      <c r="I234" s="2">
        <v>88223.23</v>
      </c>
      <c r="J234" s="2"/>
      <c r="K234" s="2"/>
      <c r="L234" s="2"/>
      <c r="M234" s="12"/>
      <c r="N234" s="2"/>
      <c r="P234" s="2"/>
      <c r="Q234" s="2"/>
    </row>
    <row r="235" spans="1:21" x14ac:dyDescent="0.3">
      <c r="A235" s="2" t="s">
        <v>257</v>
      </c>
      <c r="B235" s="2" t="s">
        <v>47</v>
      </c>
      <c r="C235" s="2" t="s">
        <v>193</v>
      </c>
      <c r="D235" s="2" t="s">
        <v>258</v>
      </c>
      <c r="E235" s="12">
        <v>46164</v>
      </c>
      <c r="F235" s="2">
        <v>56</v>
      </c>
      <c r="G235" s="12">
        <v>46220</v>
      </c>
      <c r="H235" s="2" t="s">
        <v>236</v>
      </c>
      <c r="I235" s="2">
        <v>118514.32</v>
      </c>
      <c r="J235" s="2"/>
      <c r="K235" s="2"/>
      <c r="L235" s="2"/>
      <c r="M235" s="12"/>
      <c r="N235" s="2"/>
      <c r="P235" s="2"/>
      <c r="Q235" s="2"/>
    </row>
    <row r="236" spans="1:21" x14ac:dyDescent="0.3">
      <c r="A236" s="2" t="s">
        <v>259</v>
      </c>
      <c r="B236" s="2" t="s">
        <v>36</v>
      </c>
      <c r="C236" s="2" t="s">
        <v>198</v>
      </c>
      <c r="D236" s="2" t="s">
        <v>260</v>
      </c>
      <c r="E236" s="12">
        <v>46089</v>
      </c>
      <c r="F236" s="2">
        <v>127</v>
      </c>
      <c r="G236" s="12">
        <v>46216</v>
      </c>
      <c r="H236" s="2" t="s">
        <v>233</v>
      </c>
      <c r="I236" s="2">
        <v>143945.62</v>
      </c>
      <c r="J236" s="2"/>
      <c r="K236" s="2"/>
      <c r="P236" s="2"/>
      <c r="Q236" s="2"/>
    </row>
    <row r="237" spans="1:21" x14ac:dyDescent="0.3">
      <c r="A237" s="2" t="s">
        <v>261</v>
      </c>
      <c r="B237" s="2" t="s">
        <v>106</v>
      </c>
      <c r="C237" s="2" t="s">
        <v>201</v>
      </c>
      <c r="D237" s="2" t="s">
        <v>262</v>
      </c>
      <c r="E237" s="12">
        <v>45564</v>
      </c>
      <c r="F237" s="2">
        <v>134</v>
      </c>
      <c r="G237" s="12">
        <v>45698</v>
      </c>
      <c r="H237" s="2" t="s">
        <v>233</v>
      </c>
      <c r="I237" s="2">
        <v>153030.35</v>
      </c>
      <c r="J237" s="2"/>
      <c r="K237" s="2"/>
      <c r="P237" s="2"/>
      <c r="Q237" s="2"/>
    </row>
    <row r="238" spans="1:21" x14ac:dyDescent="0.3">
      <c r="A238" s="2" t="s">
        <v>263</v>
      </c>
      <c r="B238" s="2" t="s">
        <v>159</v>
      </c>
      <c r="C238" s="2" t="s">
        <v>196</v>
      </c>
      <c r="D238" s="2" t="s">
        <v>264</v>
      </c>
      <c r="E238" s="12">
        <v>46172</v>
      </c>
      <c r="F238" s="2">
        <v>128</v>
      </c>
      <c r="G238" s="12">
        <v>46300</v>
      </c>
      <c r="H238" s="2" t="s">
        <v>236</v>
      </c>
      <c r="I238" s="2">
        <v>99054.19</v>
      </c>
      <c r="J238" s="2"/>
      <c r="K238" s="2"/>
      <c r="L238" s="2"/>
      <c r="M238" s="12"/>
      <c r="N238" s="2"/>
      <c r="P238" s="2"/>
      <c r="Q238" s="2"/>
    </row>
    <row r="239" spans="1:21" x14ac:dyDescent="0.3">
      <c r="A239" s="2" t="s">
        <v>265</v>
      </c>
      <c r="B239" s="2" t="s">
        <v>74</v>
      </c>
      <c r="C239" s="2" t="s">
        <v>193</v>
      </c>
      <c r="D239" s="2" t="s">
        <v>266</v>
      </c>
      <c r="E239" s="12">
        <v>45353</v>
      </c>
      <c r="F239" s="2">
        <v>158</v>
      </c>
      <c r="G239" s="12">
        <v>45511</v>
      </c>
      <c r="H239" s="2" t="s">
        <v>233</v>
      </c>
      <c r="I239" s="2">
        <v>42007.19</v>
      </c>
      <c r="J239" s="2"/>
      <c r="K239" s="2"/>
      <c r="P239" s="2"/>
      <c r="Q239" s="2"/>
    </row>
    <row r="240" spans="1:21" x14ac:dyDescent="0.3">
      <c r="A240" s="2" t="s">
        <v>267</v>
      </c>
      <c r="B240" s="2" t="s">
        <v>173</v>
      </c>
      <c r="C240" s="2" t="s">
        <v>204</v>
      </c>
      <c r="D240" s="2" t="s">
        <v>268</v>
      </c>
      <c r="E240" s="12">
        <v>45887</v>
      </c>
      <c r="F240" s="2">
        <v>178</v>
      </c>
      <c r="G240" s="12">
        <v>46065</v>
      </c>
      <c r="H240" s="2" t="s">
        <v>236</v>
      </c>
      <c r="I240" s="2">
        <v>69627.67</v>
      </c>
      <c r="J240" s="2"/>
      <c r="K240" s="2"/>
      <c r="L240" s="2"/>
      <c r="M240" s="12"/>
      <c r="N240" s="2"/>
      <c r="P240" s="2"/>
      <c r="Q240" s="2"/>
    </row>
    <row r="241" spans="1:21" x14ac:dyDescent="0.3">
      <c r="A241" s="2" t="s">
        <v>269</v>
      </c>
      <c r="B241" s="2" t="s">
        <v>67</v>
      </c>
      <c r="C241" s="2" t="s">
        <v>198</v>
      </c>
      <c r="D241" s="2" t="s">
        <v>270</v>
      </c>
      <c r="E241" s="12">
        <v>46171</v>
      </c>
      <c r="F241" s="2">
        <v>84</v>
      </c>
      <c r="G241" s="12">
        <v>46255</v>
      </c>
      <c r="H241" s="2" t="s">
        <v>236</v>
      </c>
      <c r="I241" s="2">
        <v>122413.05</v>
      </c>
      <c r="J241" s="2"/>
      <c r="K241" s="2"/>
      <c r="L241" s="2"/>
      <c r="M241" s="12"/>
      <c r="N241" s="2"/>
    </row>
    <row r="242" spans="1:21" x14ac:dyDescent="0.3">
      <c r="A242" s="2" t="s">
        <v>271</v>
      </c>
      <c r="B242" s="2" t="s">
        <v>21</v>
      </c>
      <c r="C242" s="2" t="s">
        <v>196</v>
      </c>
      <c r="D242" s="2" t="s">
        <v>272</v>
      </c>
      <c r="E242" s="12">
        <v>46020</v>
      </c>
      <c r="F242" s="2">
        <v>35</v>
      </c>
      <c r="G242" s="12">
        <v>46055</v>
      </c>
      <c r="H242" s="2" t="s">
        <v>236</v>
      </c>
      <c r="I242" s="2">
        <v>122702.31</v>
      </c>
      <c r="J242" s="2"/>
      <c r="K242" s="2"/>
      <c r="L242" s="2"/>
      <c r="M242" s="12"/>
      <c r="N242" s="2"/>
    </row>
    <row r="243" spans="1:21" x14ac:dyDescent="0.3">
      <c r="A243" s="2" t="s">
        <v>273</v>
      </c>
      <c r="B243" s="2" t="s">
        <v>77</v>
      </c>
      <c r="C243" s="2" t="s">
        <v>198</v>
      </c>
      <c r="D243" s="2" t="s">
        <v>274</v>
      </c>
      <c r="E243" s="12">
        <v>45633</v>
      </c>
      <c r="F243" s="2">
        <v>124</v>
      </c>
      <c r="G243" s="12">
        <v>45757</v>
      </c>
      <c r="H243" s="2" t="s">
        <v>236</v>
      </c>
      <c r="I243" s="2">
        <v>194874.05</v>
      </c>
      <c r="J243" s="2"/>
      <c r="K243" s="2"/>
      <c r="L243" s="2"/>
      <c r="M243" s="12"/>
      <c r="N243" s="2"/>
    </row>
    <row r="244" spans="1:21" x14ac:dyDescent="0.3">
      <c r="A244" s="2" t="s">
        <v>275</v>
      </c>
      <c r="B244" s="2" t="s">
        <v>143</v>
      </c>
      <c r="C244" s="2" t="s">
        <v>196</v>
      </c>
      <c r="D244" s="2" t="s">
        <v>276</v>
      </c>
      <c r="E244" s="12">
        <v>45688</v>
      </c>
      <c r="F244" s="2">
        <v>162</v>
      </c>
      <c r="G244" s="12">
        <v>45850</v>
      </c>
      <c r="H244" s="2" t="s">
        <v>236</v>
      </c>
      <c r="I244" s="2">
        <v>105667.91</v>
      </c>
      <c r="J244" s="2"/>
      <c r="K244" s="2"/>
      <c r="L244" s="2"/>
      <c r="M244" s="12"/>
      <c r="N244" s="2"/>
      <c r="P244" s="2"/>
    </row>
    <row r="245" spans="1:21" x14ac:dyDescent="0.3">
      <c r="A245" s="2" t="s">
        <v>277</v>
      </c>
      <c r="B245" s="2" t="s">
        <v>83</v>
      </c>
      <c r="C245" s="2" t="s">
        <v>196</v>
      </c>
      <c r="D245" s="2" t="s">
        <v>278</v>
      </c>
      <c r="E245" s="12">
        <v>45990</v>
      </c>
      <c r="F245" s="2">
        <v>131</v>
      </c>
      <c r="G245" s="12">
        <v>46121</v>
      </c>
      <c r="H245" s="2" t="s">
        <v>233</v>
      </c>
      <c r="I245" s="2">
        <v>92288.57</v>
      </c>
      <c r="J245" s="2"/>
      <c r="K245" s="2"/>
      <c r="P245" s="2"/>
      <c r="Q245" s="2"/>
    </row>
    <row r="246" spans="1:21" x14ac:dyDescent="0.3">
      <c r="A246" s="2" t="s">
        <v>279</v>
      </c>
      <c r="B246" s="2" t="s">
        <v>100</v>
      </c>
      <c r="C246" s="2" t="s">
        <v>207</v>
      </c>
      <c r="D246" s="2" t="s">
        <v>280</v>
      </c>
      <c r="E246" s="12">
        <v>45310</v>
      </c>
      <c r="F246" s="2">
        <v>32</v>
      </c>
      <c r="G246" s="12">
        <v>45342</v>
      </c>
      <c r="H246" s="2" t="s">
        <v>233</v>
      </c>
      <c r="I246" s="2">
        <v>196178.73</v>
      </c>
      <c r="J246" s="2"/>
      <c r="K246" s="2"/>
    </row>
    <row r="247" spans="1:21" x14ac:dyDescent="0.3">
      <c r="A247" s="2" t="s">
        <v>281</v>
      </c>
      <c r="B247" s="2" t="s">
        <v>177</v>
      </c>
      <c r="C247" s="2" t="s">
        <v>193</v>
      </c>
      <c r="D247" s="2" t="s">
        <v>282</v>
      </c>
      <c r="E247" s="12">
        <v>45468</v>
      </c>
      <c r="F247" s="2">
        <v>52</v>
      </c>
      <c r="G247" s="12">
        <v>45520</v>
      </c>
      <c r="H247" s="2" t="s">
        <v>236</v>
      </c>
      <c r="I247" s="2">
        <v>108307.75</v>
      </c>
      <c r="J247" s="2"/>
      <c r="K247" s="2"/>
      <c r="L247" s="2"/>
      <c r="M247" s="12"/>
      <c r="N247" s="2"/>
    </row>
    <row r="248" spans="1:21" x14ac:dyDescent="0.3">
      <c r="A248" s="2" t="s">
        <v>283</v>
      </c>
      <c r="B248" s="2" t="s">
        <v>167</v>
      </c>
      <c r="C248" s="2" t="s">
        <v>213</v>
      </c>
      <c r="D248" s="2" t="s">
        <v>284</v>
      </c>
      <c r="E248" s="12">
        <v>45903</v>
      </c>
      <c r="F248" s="2">
        <v>82</v>
      </c>
      <c r="G248" s="12">
        <v>45985</v>
      </c>
      <c r="H248" s="2" t="s">
        <v>285</v>
      </c>
      <c r="I248" s="2">
        <v>108651.79</v>
      </c>
      <c r="J248" s="2"/>
      <c r="K248" s="2"/>
      <c r="P248" s="2"/>
      <c r="R248" s="2"/>
      <c r="S248" s="2"/>
    </row>
    <row r="249" spans="1:21" x14ac:dyDescent="0.3">
      <c r="A249" s="2" t="s">
        <v>286</v>
      </c>
      <c r="B249" s="2" t="s">
        <v>58</v>
      </c>
      <c r="C249" s="2" t="s">
        <v>198</v>
      </c>
      <c r="D249" s="2" t="s">
        <v>287</v>
      </c>
      <c r="E249" s="12">
        <v>45687</v>
      </c>
      <c r="F249" s="2">
        <v>112</v>
      </c>
      <c r="G249" s="12">
        <v>45799</v>
      </c>
      <c r="H249" s="2" t="s">
        <v>233</v>
      </c>
      <c r="I249" s="2">
        <v>160988.51</v>
      </c>
      <c r="J249" s="2"/>
      <c r="K249" s="2"/>
      <c r="P249" s="2"/>
      <c r="Q249" s="2"/>
      <c r="R249" s="2"/>
      <c r="S249" s="2"/>
      <c r="T249" s="2"/>
      <c r="U249" s="2">
        <v>0.46363636363636401</v>
      </c>
    </row>
    <row r="250" spans="1:21" x14ac:dyDescent="0.3">
      <c r="A250" s="2" t="s">
        <v>288</v>
      </c>
      <c r="B250" s="2" t="s">
        <v>110</v>
      </c>
      <c r="C250" s="2" t="s">
        <v>213</v>
      </c>
      <c r="D250" s="2" t="s">
        <v>289</v>
      </c>
      <c r="E250" s="12">
        <v>45736</v>
      </c>
      <c r="F250" s="2">
        <v>174</v>
      </c>
      <c r="G250" s="12">
        <v>45910</v>
      </c>
      <c r="H250" s="2" t="s">
        <v>236</v>
      </c>
      <c r="I250" s="2">
        <v>102519.73</v>
      </c>
      <c r="J250" s="2"/>
      <c r="K250" s="2"/>
      <c r="L250" s="2"/>
      <c r="M250" s="12"/>
      <c r="N250" s="2"/>
    </row>
    <row r="251" spans="1:21" x14ac:dyDescent="0.3">
      <c r="A251" s="2" t="s">
        <v>290</v>
      </c>
      <c r="B251" s="2" t="s">
        <v>108</v>
      </c>
      <c r="C251" s="2" t="s">
        <v>198</v>
      </c>
      <c r="D251" s="2" t="s">
        <v>291</v>
      </c>
      <c r="E251" s="12">
        <v>45524</v>
      </c>
      <c r="F251" s="2">
        <v>114</v>
      </c>
      <c r="G251" s="12">
        <v>45638</v>
      </c>
      <c r="H251" s="2" t="s">
        <v>230</v>
      </c>
      <c r="I251" s="2">
        <v>169264.48</v>
      </c>
      <c r="J251" s="2"/>
      <c r="K251" s="2"/>
      <c r="L251" s="2"/>
      <c r="M251" s="12"/>
    </row>
    <row r="252" spans="1:21" x14ac:dyDescent="0.3">
      <c r="A252" s="2" t="s">
        <v>292</v>
      </c>
      <c r="B252" s="2" t="s">
        <v>102</v>
      </c>
      <c r="C252" s="2" t="s">
        <v>207</v>
      </c>
      <c r="D252" s="2" t="s">
        <v>293</v>
      </c>
      <c r="E252" s="12">
        <v>45367</v>
      </c>
      <c r="F252" s="2">
        <v>107</v>
      </c>
      <c r="G252" s="12">
        <v>45474</v>
      </c>
      <c r="H252" s="2" t="s">
        <v>230</v>
      </c>
      <c r="I252" s="2">
        <v>115957.98</v>
      </c>
      <c r="J252" s="2"/>
      <c r="K252" s="2"/>
      <c r="L252" s="2"/>
      <c r="M252" s="12"/>
    </row>
    <row r="253" spans="1:21" x14ac:dyDescent="0.3">
      <c r="A253" s="2" t="s">
        <v>294</v>
      </c>
      <c r="B253" s="2" t="s">
        <v>94</v>
      </c>
      <c r="C253" s="2" t="s">
        <v>204</v>
      </c>
      <c r="D253" s="2" t="s">
        <v>295</v>
      </c>
      <c r="E253" s="12">
        <v>45556</v>
      </c>
      <c r="F253" s="2">
        <v>139</v>
      </c>
      <c r="G253" s="12">
        <v>45695</v>
      </c>
      <c r="H253" s="2" t="s">
        <v>236</v>
      </c>
      <c r="I253" s="2">
        <v>61848.81</v>
      </c>
      <c r="J253" s="2"/>
      <c r="K253" s="2"/>
      <c r="L253" s="2"/>
      <c r="M253" s="12"/>
      <c r="N253" s="2"/>
    </row>
    <row r="254" spans="1:21" x14ac:dyDescent="0.3">
      <c r="A254" s="2" t="s">
        <v>296</v>
      </c>
      <c r="B254" s="2" t="s">
        <v>55</v>
      </c>
      <c r="C254" s="2" t="s">
        <v>213</v>
      </c>
      <c r="D254" s="2" t="s">
        <v>297</v>
      </c>
      <c r="E254" s="12">
        <v>45746</v>
      </c>
      <c r="F254" s="2">
        <v>30</v>
      </c>
      <c r="G254" s="12">
        <v>45776</v>
      </c>
      <c r="H254" s="2" t="s">
        <v>236</v>
      </c>
      <c r="I254" s="2">
        <v>75187.8</v>
      </c>
      <c r="J254" s="2"/>
      <c r="K254" s="2"/>
      <c r="L254" s="2"/>
      <c r="M254" s="12"/>
      <c r="N254" s="2"/>
    </row>
    <row r="255" spans="1:21" x14ac:dyDescent="0.3">
      <c r="A255" s="2" t="s">
        <v>298</v>
      </c>
      <c r="B255" s="2" t="s">
        <v>100</v>
      </c>
      <c r="C255" s="2" t="s">
        <v>204</v>
      </c>
      <c r="D255" s="2" t="s">
        <v>299</v>
      </c>
      <c r="E255" s="12">
        <v>46087</v>
      </c>
      <c r="F255" s="2">
        <v>80</v>
      </c>
      <c r="G255" s="12">
        <v>46167</v>
      </c>
      <c r="H255" s="2" t="s">
        <v>230</v>
      </c>
      <c r="I255" s="2">
        <v>78689.87</v>
      </c>
      <c r="J255" s="2"/>
      <c r="K255" s="2"/>
      <c r="L255" s="2"/>
      <c r="M255" s="12"/>
    </row>
    <row r="256" spans="1:21" x14ac:dyDescent="0.3">
      <c r="A256" s="2" t="s">
        <v>300</v>
      </c>
      <c r="B256" s="2" t="s">
        <v>74</v>
      </c>
      <c r="C256" s="2" t="s">
        <v>210</v>
      </c>
      <c r="D256" s="2" t="s">
        <v>301</v>
      </c>
      <c r="E256" s="12">
        <v>46009</v>
      </c>
      <c r="F256" s="2">
        <v>33</v>
      </c>
      <c r="G256" s="12">
        <v>46042</v>
      </c>
      <c r="H256" s="2" t="s">
        <v>233</v>
      </c>
      <c r="I256" s="2">
        <v>192837.34</v>
      </c>
      <c r="J256" s="2"/>
      <c r="K256" s="2"/>
    </row>
    <row r="257" spans="1:14" x14ac:dyDescent="0.3">
      <c r="A257" s="2" t="s">
        <v>302</v>
      </c>
      <c r="B257" s="2" t="s">
        <v>179</v>
      </c>
      <c r="C257" s="2" t="s">
        <v>193</v>
      </c>
      <c r="D257" s="2" t="s">
        <v>303</v>
      </c>
      <c r="E257" s="12">
        <v>46026</v>
      </c>
      <c r="F257" s="2">
        <v>142</v>
      </c>
      <c r="G257" s="12">
        <v>46168</v>
      </c>
      <c r="H257" s="2" t="s">
        <v>236</v>
      </c>
      <c r="I257" s="2">
        <v>107288.54</v>
      </c>
      <c r="J257" s="2"/>
      <c r="K257" s="2"/>
      <c r="L257" s="2"/>
      <c r="M257" s="12"/>
      <c r="N257" s="2"/>
    </row>
    <row r="258" spans="1:14" x14ac:dyDescent="0.3">
      <c r="A258" s="2" t="s">
        <v>304</v>
      </c>
      <c r="B258" s="2" t="s">
        <v>79</v>
      </c>
      <c r="C258" s="2" t="s">
        <v>193</v>
      </c>
      <c r="D258" s="2" t="s">
        <v>305</v>
      </c>
      <c r="E258" s="12">
        <v>45675</v>
      </c>
      <c r="F258" s="2">
        <v>61</v>
      </c>
      <c r="G258" s="12">
        <v>45736</v>
      </c>
      <c r="H258" s="2" t="s">
        <v>233</v>
      </c>
      <c r="I258" s="2">
        <v>94444.15</v>
      </c>
      <c r="J258" s="2"/>
      <c r="K258" s="2"/>
    </row>
    <row r="259" spans="1:14" x14ac:dyDescent="0.3">
      <c r="A259" s="2" t="s">
        <v>306</v>
      </c>
      <c r="B259" s="2" t="s">
        <v>141</v>
      </c>
      <c r="C259" s="2" t="s">
        <v>201</v>
      </c>
      <c r="D259" s="2" t="s">
        <v>307</v>
      </c>
      <c r="E259" s="12">
        <v>45855</v>
      </c>
      <c r="F259" s="2">
        <v>63</v>
      </c>
      <c r="G259" s="12">
        <v>45918</v>
      </c>
      <c r="H259" s="2" t="s">
        <v>285</v>
      </c>
      <c r="I259" s="2">
        <v>221465.09</v>
      </c>
      <c r="J259" s="2"/>
      <c r="K259" s="2"/>
    </row>
    <row r="260" spans="1:14" x14ac:dyDescent="0.3">
      <c r="A260" s="2" t="s">
        <v>308</v>
      </c>
      <c r="B260" s="2" t="s">
        <v>88</v>
      </c>
      <c r="C260" s="2" t="s">
        <v>207</v>
      </c>
      <c r="D260" s="2" t="s">
        <v>309</v>
      </c>
      <c r="E260" s="12">
        <v>46142</v>
      </c>
      <c r="F260" s="2">
        <v>121</v>
      </c>
      <c r="G260" s="12">
        <v>46263</v>
      </c>
      <c r="H260" s="2" t="s">
        <v>233</v>
      </c>
      <c r="I260" s="2">
        <v>144303.29999999999</v>
      </c>
      <c r="J260" s="2"/>
      <c r="K260" s="2"/>
    </row>
    <row r="261" spans="1:14" x14ac:dyDescent="0.3">
      <c r="A261" s="2" t="s">
        <v>310</v>
      </c>
      <c r="B261" s="2" t="s">
        <v>27</v>
      </c>
      <c r="C261" s="2" t="s">
        <v>204</v>
      </c>
      <c r="D261" s="2" t="s">
        <v>311</v>
      </c>
      <c r="E261" s="12">
        <v>45797</v>
      </c>
      <c r="F261" s="2">
        <v>124</v>
      </c>
      <c r="G261" s="12">
        <v>45921</v>
      </c>
      <c r="H261" s="2" t="s">
        <v>233</v>
      </c>
      <c r="I261" s="2">
        <v>83608.36</v>
      </c>
      <c r="J261" s="2"/>
      <c r="K261" s="2"/>
    </row>
    <row r="262" spans="1:14" x14ac:dyDescent="0.3">
      <c r="A262" s="2" t="s">
        <v>312</v>
      </c>
      <c r="B262" s="2" t="s">
        <v>106</v>
      </c>
      <c r="C262" s="2" t="s">
        <v>196</v>
      </c>
      <c r="D262" s="2" t="s">
        <v>313</v>
      </c>
      <c r="E262" s="12">
        <v>45658</v>
      </c>
      <c r="F262" s="2">
        <v>101</v>
      </c>
      <c r="G262" s="12">
        <v>45759</v>
      </c>
      <c r="H262" s="2" t="s">
        <v>285</v>
      </c>
      <c r="I262" s="2">
        <v>145732.28</v>
      </c>
      <c r="J262" s="2"/>
      <c r="K262" s="2"/>
    </row>
    <row r="263" spans="1:14" x14ac:dyDescent="0.3">
      <c r="A263" s="2" t="s">
        <v>314</v>
      </c>
      <c r="B263" s="2" t="s">
        <v>42</v>
      </c>
      <c r="C263" s="2" t="s">
        <v>198</v>
      </c>
      <c r="D263" s="2" t="s">
        <v>315</v>
      </c>
      <c r="E263" s="12">
        <v>45435</v>
      </c>
      <c r="F263" s="2">
        <v>68</v>
      </c>
      <c r="G263" s="12">
        <v>45503</v>
      </c>
      <c r="H263" s="2" t="s">
        <v>236</v>
      </c>
      <c r="I263" s="2">
        <v>182506.81</v>
      </c>
      <c r="J263" s="2"/>
      <c r="K263" s="2"/>
      <c r="L263" s="2"/>
      <c r="M263" s="12"/>
      <c r="N263" s="2"/>
    </row>
    <row r="264" spans="1:14" x14ac:dyDescent="0.3">
      <c r="A264" s="2" t="s">
        <v>316</v>
      </c>
      <c r="B264" s="2" t="s">
        <v>133</v>
      </c>
      <c r="C264" s="2" t="s">
        <v>193</v>
      </c>
      <c r="D264" s="2" t="s">
        <v>317</v>
      </c>
      <c r="E264" s="12">
        <v>46176</v>
      </c>
      <c r="F264" s="2">
        <v>147</v>
      </c>
      <c r="G264" s="12">
        <v>46323</v>
      </c>
      <c r="H264" s="2" t="s">
        <v>236</v>
      </c>
      <c r="I264" s="2">
        <v>96411.24</v>
      </c>
      <c r="J264" s="2"/>
      <c r="K264" s="2"/>
      <c r="L264" s="2"/>
      <c r="M264" s="12"/>
      <c r="N264" s="2"/>
    </row>
    <row r="265" spans="1:14" x14ac:dyDescent="0.3">
      <c r="A265" s="2" t="s">
        <v>318</v>
      </c>
      <c r="B265" s="2" t="s">
        <v>169</v>
      </c>
      <c r="C265" s="2" t="s">
        <v>213</v>
      </c>
      <c r="D265" s="2" t="s">
        <v>319</v>
      </c>
      <c r="E265" s="12">
        <v>45360</v>
      </c>
      <c r="F265" s="2">
        <v>32</v>
      </c>
      <c r="G265" s="12">
        <v>45392</v>
      </c>
      <c r="H265" s="2" t="s">
        <v>233</v>
      </c>
      <c r="I265" s="2">
        <v>93587.22</v>
      </c>
      <c r="J265" s="2"/>
      <c r="K265" s="2"/>
    </row>
    <row r="266" spans="1:14" x14ac:dyDescent="0.3">
      <c r="A266" s="2" t="s">
        <v>320</v>
      </c>
      <c r="B266" s="2" t="s">
        <v>38</v>
      </c>
      <c r="C266" s="2" t="s">
        <v>198</v>
      </c>
      <c r="D266" s="2" t="s">
        <v>321</v>
      </c>
      <c r="E266" s="12">
        <v>45390</v>
      </c>
      <c r="F266" s="2">
        <v>152</v>
      </c>
      <c r="G266" s="12">
        <v>45542</v>
      </c>
      <c r="H266" s="2" t="s">
        <v>285</v>
      </c>
      <c r="I266" s="2">
        <v>175381.98</v>
      </c>
      <c r="J266" s="2"/>
      <c r="K266" s="2"/>
    </row>
    <row r="267" spans="1:14" x14ac:dyDescent="0.3">
      <c r="A267" s="2" t="s">
        <v>322</v>
      </c>
      <c r="B267" s="2" t="s">
        <v>116</v>
      </c>
      <c r="C267" s="2" t="s">
        <v>198</v>
      </c>
      <c r="D267" s="2" t="s">
        <v>323</v>
      </c>
      <c r="E267" s="12">
        <v>45687</v>
      </c>
      <c r="F267" s="2">
        <v>79</v>
      </c>
      <c r="G267" s="12">
        <v>45766</v>
      </c>
      <c r="H267" s="2" t="s">
        <v>236</v>
      </c>
      <c r="I267" s="2">
        <v>86416.82</v>
      </c>
      <c r="J267" s="2"/>
      <c r="K267" s="2"/>
      <c r="L267" s="2"/>
      <c r="M267" s="12"/>
      <c r="N267" s="2"/>
    </row>
    <row r="268" spans="1:14" x14ac:dyDescent="0.3">
      <c r="A268" s="2" t="s">
        <v>324</v>
      </c>
      <c r="B268" s="2" t="s">
        <v>55</v>
      </c>
      <c r="C268" s="2" t="s">
        <v>201</v>
      </c>
      <c r="D268" s="2" t="s">
        <v>325</v>
      </c>
      <c r="E268" s="12">
        <v>45316</v>
      </c>
      <c r="F268" s="2">
        <v>41</v>
      </c>
      <c r="G268" s="12">
        <v>45357</v>
      </c>
      <c r="H268" s="2" t="s">
        <v>233</v>
      </c>
      <c r="I268" s="2">
        <v>223865.73</v>
      </c>
      <c r="J268" s="2"/>
      <c r="K268" s="2"/>
    </row>
    <row r="269" spans="1:14" x14ac:dyDescent="0.3">
      <c r="A269" s="2" t="s">
        <v>326</v>
      </c>
      <c r="B269" s="2" t="s">
        <v>77</v>
      </c>
      <c r="C269" s="2" t="s">
        <v>204</v>
      </c>
      <c r="D269" s="2" t="s">
        <v>327</v>
      </c>
      <c r="E269" s="12">
        <v>46182</v>
      </c>
      <c r="F269" s="2">
        <v>83</v>
      </c>
      <c r="G269" s="12">
        <v>46265</v>
      </c>
      <c r="H269" s="2" t="s">
        <v>233</v>
      </c>
      <c r="I269" s="2">
        <v>59095.59</v>
      </c>
      <c r="J269" s="2"/>
      <c r="K269" s="2"/>
    </row>
    <row r="270" spans="1:14" x14ac:dyDescent="0.3">
      <c r="A270" s="2" t="s">
        <v>328</v>
      </c>
      <c r="B270" s="2" t="s">
        <v>151</v>
      </c>
      <c r="C270" s="2" t="s">
        <v>193</v>
      </c>
      <c r="D270" s="2" t="s">
        <v>329</v>
      </c>
      <c r="E270" s="12">
        <v>45760</v>
      </c>
      <c r="F270" s="2">
        <v>162</v>
      </c>
      <c r="G270" s="12">
        <v>45922</v>
      </c>
      <c r="H270" s="2" t="s">
        <v>236</v>
      </c>
      <c r="I270" s="2">
        <v>48515.88</v>
      </c>
      <c r="J270" s="2"/>
      <c r="K270" s="2"/>
      <c r="L270" s="2"/>
      <c r="M270" s="12"/>
      <c r="N270" s="2"/>
    </row>
    <row r="271" spans="1:14" x14ac:dyDescent="0.3">
      <c r="A271" s="2" t="s">
        <v>330</v>
      </c>
      <c r="B271" s="2" t="s">
        <v>118</v>
      </c>
      <c r="C271" s="2" t="s">
        <v>198</v>
      </c>
      <c r="D271" s="2" t="s">
        <v>331</v>
      </c>
      <c r="E271" s="12">
        <v>45775</v>
      </c>
      <c r="F271" s="2">
        <v>86</v>
      </c>
      <c r="G271" s="12">
        <v>45861</v>
      </c>
      <c r="H271" s="2" t="s">
        <v>233</v>
      </c>
      <c r="I271" s="2">
        <v>147828.56</v>
      </c>
      <c r="J271" s="2"/>
      <c r="K271" s="2"/>
    </row>
    <row r="272" spans="1:14" x14ac:dyDescent="0.3">
      <c r="A272" s="2" t="s">
        <v>332</v>
      </c>
      <c r="B272" s="2" t="s">
        <v>155</v>
      </c>
      <c r="C272" s="2" t="s">
        <v>193</v>
      </c>
      <c r="D272" s="2" t="s">
        <v>333</v>
      </c>
      <c r="E272" s="12">
        <v>45856</v>
      </c>
      <c r="F272" s="2">
        <v>174</v>
      </c>
      <c r="G272" s="12">
        <v>46030</v>
      </c>
      <c r="H272" s="2" t="s">
        <v>285</v>
      </c>
      <c r="I272" s="2">
        <v>83096.69</v>
      </c>
      <c r="J272" s="2"/>
      <c r="K272" s="2"/>
    </row>
    <row r="273" spans="1:14" x14ac:dyDescent="0.3">
      <c r="A273" s="2" t="s">
        <v>334</v>
      </c>
      <c r="B273" s="2" t="s">
        <v>11</v>
      </c>
      <c r="C273" s="2" t="s">
        <v>196</v>
      </c>
      <c r="D273" s="2" t="s">
        <v>335</v>
      </c>
      <c r="E273" s="12">
        <v>45442</v>
      </c>
      <c r="F273" s="2">
        <v>141</v>
      </c>
      <c r="G273" s="12">
        <v>45583</v>
      </c>
      <c r="H273" s="2" t="s">
        <v>233</v>
      </c>
      <c r="I273" s="2">
        <v>101547.96</v>
      </c>
      <c r="J273" s="2"/>
      <c r="K273" s="2"/>
    </row>
    <row r="274" spans="1:14" x14ac:dyDescent="0.3">
      <c r="A274" s="2" t="s">
        <v>336</v>
      </c>
      <c r="B274" s="2" t="s">
        <v>135</v>
      </c>
      <c r="C274" s="2" t="s">
        <v>201</v>
      </c>
      <c r="D274" s="2" t="s">
        <v>337</v>
      </c>
      <c r="E274" s="12">
        <v>45435</v>
      </c>
      <c r="F274" s="2">
        <v>76</v>
      </c>
      <c r="G274" s="12">
        <v>45511</v>
      </c>
      <c r="H274" s="2" t="s">
        <v>233</v>
      </c>
      <c r="I274" s="2">
        <v>195124.64</v>
      </c>
      <c r="J274" s="2"/>
      <c r="K274" s="2"/>
    </row>
    <row r="275" spans="1:14" x14ac:dyDescent="0.3">
      <c r="A275" s="2" t="s">
        <v>338</v>
      </c>
      <c r="B275" s="2" t="s">
        <v>157</v>
      </c>
      <c r="C275" s="2" t="s">
        <v>196</v>
      </c>
      <c r="D275" s="2" t="s">
        <v>339</v>
      </c>
      <c r="E275" s="12">
        <v>45860</v>
      </c>
      <c r="F275" s="2">
        <v>180</v>
      </c>
      <c r="G275" s="12">
        <v>46040</v>
      </c>
      <c r="H275" s="2" t="s">
        <v>236</v>
      </c>
      <c r="I275" s="2">
        <v>120407.01</v>
      </c>
      <c r="J275" s="2"/>
      <c r="K275" s="2"/>
      <c r="L275" s="2"/>
      <c r="M275" s="12"/>
      <c r="N275" s="2"/>
    </row>
    <row r="276" spans="1:14" x14ac:dyDescent="0.3">
      <c r="A276" s="2" t="s">
        <v>340</v>
      </c>
      <c r="B276" s="2" t="s">
        <v>129</v>
      </c>
      <c r="C276" s="2" t="s">
        <v>193</v>
      </c>
      <c r="D276" s="2" t="s">
        <v>341</v>
      </c>
      <c r="E276" s="12">
        <v>45330</v>
      </c>
      <c r="F276" s="2">
        <v>114</v>
      </c>
      <c r="G276" s="12">
        <v>45444</v>
      </c>
      <c r="H276" s="2" t="s">
        <v>233</v>
      </c>
      <c r="I276" s="2">
        <v>90958.03</v>
      </c>
      <c r="J276" s="2"/>
      <c r="K276" s="2"/>
    </row>
    <row r="277" spans="1:14" x14ac:dyDescent="0.3">
      <c r="A277" s="2" t="s">
        <v>342</v>
      </c>
      <c r="B277" s="2" t="s">
        <v>133</v>
      </c>
      <c r="C277" s="2" t="s">
        <v>210</v>
      </c>
      <c r="D277" s="2" t="s">
        <v>343</v>
      </c>
      <c r="E277" s="12">
        <v>45400</v>
      </c>
      <c r="F277" s="2">
        <v>171</v>
      </c>
      <c r="G277" s="12">
        <v>45571</v>
      </c>
      <c r="H277" s="2" t="s">
        <v>236</v>
      </c>
      <c r="I277" s="2">
        <v>135798.47</v>
      </c>
      <c r="J277" s="2"/>
      <c r="K277" s="2"/>
      <c r="L277" s="2"/>
      <c r="M277" s="12"/>
      <c r="N277" s="2"/>
    </row>
    <row r="278" spans="1:14" x14ac:dyDescent="0.3">
      <c r="A278" s="2" t="s">
        <v>344</v>
      </c>
      <c r="B278" s="2" t="s">
        <v>98</v>
      </c>
      <c r="C278" s="2" t="s">
        <v>213</v>
      </c>
      <c r="D278" s="2" t="s">
        <v>345</v>
      </c>
      <c r="E278" s="12">
        <v>45984</v>
      </c>
      <c r="F278" s="2">
        <v>95</v>
      </c>
      <c r="G278" s="12">
        <v>46079</v>
      </c>
      <c r="H278" s="2" t="s">
        <v>236</v>
      </c>
      <c r="I278" s="2">
        <v>101729.97</v>
      </c>
      <c r="J278" s="2"/>
      <c r="K278" s="2"/>
      <c r="L278" s="2"/>
      <c r="M278" s="12"/>
      <c r="N278" s="2"/>
    </row>
    <row r="279" spans="1:14" x14ac:dyDescent="0.3">
      <c r="A279" s="2" t="s">
        <v>346</v>
      </c>
      <c r="B279" s="2" t="s">
        <v>77</v>
      </c>
      <c r="C279" s="2" t="s">
        <v>193</v>
      </c>
      <c r="D279" s="2" t="s">
        <v>347</v>
      </c>
      <c r="E279" s="12">
        <v>45333</v>
      </c>
      <c r="F279" s="2">
        <v>104</v>
      </c>
      <c r="G279" s="12">
        <v>45437</v>
      </c>
      <c r="H279" s="2" t="s">
        <v>233</v>
      </c>
      <c r="I279" s="2">
        <v>50435.63</v>
      </c>
      <c r="J279" s="2"/>
      <c r="K279" s="2"/>
    </row>
    <row r="280" spans="1:14" x14ac:dyDescent="0.3">
      <c r="A280" s="2" t="s">
        <v>348</v>
      </c>
      <c r="B280" s="2" t="s">
        <v>83</v>
      </c>
      <c r="C280" s="2" t="s">
        <v>204</v>
      </c>
      <c r="D280" s="2" t="s">
        <v>349</v>
      </c>
      <c r="E280" s="12">
        <v>45477</v>
      </c>
      <c r="F280" s="2">
        <v>132</v>
      </c>
      <c r="G280" s="12">
        <v>45609</v>
      </c>
      <c r="H280" s="2" t="s">
        <v>236</v>
      </c>
      <c r="I280" s="2">
        <v>72145.88</v>
      </c>
      <c r="J280" s="2"/>
      <c r="K280" s="2"/>
      <c r="L280" s="2"/>
      <c r="M280" s="12"/>
      <c r="N280" s="2"/>
    </row>
    <row r="281" spans="1:14" x14ac:dyDescent="0.3">
      <c r="A281" s="2" t="s">
        <v>350</v>
      </c>
      <c r="B281" s="2" t="s">
        <v>64</v>
      </c>
      <c r="C281" s="2" t="s">
        <v>198</v>
      </c>
      <c r="D281" s="2" t="s">
        <v>351</v>
      </c>
      <c r="E281" s="12">
        <v>45689</v>
      </c>
      <c r="F281" s="2">
        <v>67</v>
      </c>
      <c r="G281" s="12">
        <v>45756</v>
      </c>
      <c r="H281" s="2" t="s">
        <v>236</v>
      </c>
      <c r="I281" s="2">
        <v>153938.07</v>
      </c>
      <c r="J281" s="2"/>
      <c r="K281" s="2"/>
      <c r="L281" s="2"/>
      <c r="M281" s="12"/>
      <c r="N281" s="2"/>
    </row>
    <row r="282" spans="1:14" x14ac:dyDescent="0.3">
      <c r="A282" s="2" t="s">
        <v>352</v>
      </c>
      <c r="B282" s="2" t="s">
        <v>40</v>
      </c>
      <c r="C282" s="2" t="s">
        <v>198</v>
      </c>
      <c r="D282" s="2" t="s">
        <v>353</v>
      </c>
      <c r="E282" s="12">
        <v>45514</v>
      </c>
      <c r="F282" s="2">
        <v>79</v>
      </c>
      <c r="G282" s="12">
        <v>45593</v>
      </c>
      <c r="H282" s="2" t="s">
        <v>233</v>
      </c>
      <c r="I282" s="2">
        <v>111095.19</v>
      </c>
      <c r="J282" s="2"/>
      <c r="K282" s="2"/>
    </row>
    <row r="283" spans="1:14" x14ac:dyDescent="0.3">
      <c r="A283" s="2" t="s">
        <v>354</v>
      </c>
      <c r="B283" s="2" t="s">
        <v>106</v>
      </c>
      <c r="C283" s="2" t="s">
        <v>196</v>
      </c>
      <c r="D283" s="2" t="s">
        <v>355</v>
      </c>
      <c r="E283" s="12">
        <v>45925</v>
      </c>
      <c r="F283" s="2">
        <v>127</v>
      </c>
      <c r="G283" s="12">
        <v>46052</v>
      </c>
      <c r="H283" s="2" t="s">
        <v>236</v>
      </c>
      <c r="I283" s="2">
        <v>125591.29</v>
      </c>
      <c r="J283" s="2"/>
      <c r="K283" s="2"/>
      <c r="L283" s="2"/>
      <c r="M283" s="12"/>
      <c r="N283" s="2"/>
    </row>
    <row r="284" spans="1:14" x14ac:dyDescent="0.3">
      <c r="A284" s="2" t="s">
        <v>356</v>
      </c>
      <c r="B284" s="2" t="s">
        <v>40</v>
      </c>
      <c r="C284" s="2" t="s">
        <v>213</v>
      </c>
      <c r="D284" s="2" t="s">
        <v>357</v>
      </c>
      <c r="E284" s="12">
        <v>45424</v>
      </c>
      <c r="F284" s="2">
        <v>111</v>
      </c>
      <c r="G284" s="12">
        <v>45535</v>
      </c>
      <c r="H284" s="2" t="s">
        <v>236</v>
      </c>
      <c r="I284" s="2">
        <v>95804.99</v>
      </c>
      <c r="J284" s="2"/>
      <c r="K284" s="2"/>
      <c r="L284" s="2"/>
      <c r="M284" s="12"/>
      <c r="N284" s="2"/>
    </row>
    <row r="285" spans="1:14" x14ac:dyDescent="0.3">
      <c r="A285" s="2" t="s">
        <v>358</v>
      </c>
      <c r="B285" s="2" t="s">
        <v>98</v>
      </c>
      <c r="C285" s="2" t="s">
        <v>201</v>
      </c>
      <c r="D285" s="2" t="s">
        <v>359</v>
      </c>
      <c r="E285" s="12">
        <v>45454</v>
      </c>
      <c r="F285" s="2">
        <v>59</v>
      </c>
      <c r="G285" s="12">
        <v>45513</v>
      </c>
      <c r="H285" s="2" t="s">
        <v>233</v>
      </c>
      <c r="I285" s="2">
        <v>188610.34</v>
      </c>
      <c r="J285" s="2"/>
      <c r="K285" s="2"/>
    </row>
    <row r="286" spans="1:14" x14ac:dyDescent="0.3">
      <c r="A286" s="2" t="s">
        <v>360</v>
      </c>
      <c r="B286" s="2" t="s">
        <v>145</v>
      </c>
      <c r="C286" s="2" t="s">
        <v>210</v>
      </c>
      <c r="D286" s="2" t="s">
        <v>361</v>
      </c>
      <c r="E286" s="12">
        <v>45506</v>
      </c>
      <c r="F286" s="2">
        <v>108</v>
      </c>
      <c r="G286" s="12">
        <v>45614</v>
      </c>
      <c r="H286" s="2" t="s">
        <v>233</v>
      </c>
      <c r="I286" s="2">
        <v>193896.39</v>
      </c>
      <c r="J286" s="2"/>
      <c r="K286" s="2"/>
    </row>
    <row r="287" spans="1:14" x14ac:dyDescent="0.3">
      <c r="A287" s="2" t="s">
        <v>362</v>
      </c>
      <c r="B287" s="2" t="s">
        <v>104</v>
      </c>
      <c r="C287" s="2" t="s">
        <v>207</v>
      </c>
      <c r="D287" s="2" t="s">
        <v>363</v>
      </c>
      <c r="E287" s="12">
        <v>46024</v>
      </c>
      <c r="F287" s="2">
        <v>120</v>
      </c>
      <c r="G287" s="12">
        <v>46144</v>
      </c>
      <c r="H287" s="2" t="s">
        <v>236</v>
      </c>
      <c r="I287" s="2">
        <v>160151.48000000001</v>
      </c>
      <c r="J287" s="2"/>
      <c r="K287" s="2"/>
      <c r="L287" s="2"/>
      <c r="M287" s="12"/>
      <c r="N287" s="2"/>
    </row>
    <row r="288" spans="1:14" x14ac:dyDescent="0.3">
      <c r="A288" s="2" t="s">
        <v>364</v>
      </c>
      <c r="B288" s="2" t="s">
        <v>135</v>
      </c>
      <c r="C288" s="2" t="s">
        <v>213</v>
      </c>
      <c r="D288" s="2" t="s">
        <v>365</v>
      </c>
      <c r="E288" s="12">
        <v>45526</v>
      </c>
      <c r="F288" s="2">
        <v>81</v>
      </c>
      <c r="G288" s="12">
        <v>45607</v>
      </c>
      <c r="H288" s="2" t="s">
        <v>285</v>
      </c>
      <c r="I288" s="2">
        <v>114052.06</v>
      </c>
      <c r="J288" s="2"/>
      <c r="K288" s="2"/>
    </row>
    <row r="289" spans="1:14" x14ac:dyDescent="0.3">
      <c r="A289" s="2" t="s">
        <v>366</v>
      </c>
      <c r="B289" s="2" t="s">
        <v>137</v>
      </c>
      <c r="C289" s="2" t="s">
        <v>198</v>
      </c>
      <c r="D289" s="2" t="s">
        <v>367</v>
      </c>
      <c r="E289" s="12">
        <v>46134</v>
      </c>
      <c r="F289" s="2">
        <v>108</v>
      </c>
      <c r="G289" s="12">
        <v>46242</v>
      </c>
      <c r="H289" s="2" t="s">
        <v>236</v>
      </c>
      <c r="I289" s="2">
        <v>104795.45</v>
      </c>
      <c r="J289" s="2"/>
      <c r="K289" s="2"/>
      <c r="L289" s="2"/>
      <c r="M289" s="12"/>
      <c r="N289" s="2"/>
    </row>
    <row r="290" spans="1:14" x14ac:dyDescent="0.3">
      <c r="A290" s="2" t="s">
        <v>368</v>
      </c>
      <c r="B290" s="2" t="s">
        <v>72</v>
      </c>
      <c r="C290" s="2" t="s">
        <v>204</v>
      </c>
      <c r="D290" s="2" t="s">
        <v>369</v>
      </c>
      <c r="E290" s="12">
        <v>45949</v>
      </c>
      <c r="F290" s="2">
        <v>59</v>
      </c>
      <c r="G290" s="12">
        <v>46008</v>
      </c>
      <c r="H290" s="2" t="s">
        <v>233</v>
      </c>
      <c r="I290" s="2">
        <v>85479.2</v>
      </c>
      <c r="J290" s="2"/>
      <c r="K290" s="2"/>
    </row>
    <row r="291" spans="1:14" x14ac:dyDescent="0.3">
      <c r="A291" s="2" t="s">
        <v>370</v>
      </c>
      <c r="B291" s="2" t="s">
        <v>67</v>
      </c>
      <c r="C291" s="2" t="s">
        <v>213</v>
      </c>
      <c r="D291" s="2" t="s">
        <v>371</v>
      </c>
      <c r="E291" s="12">
        <v>46042</v>
      </c>
      <c r="F291" s="2">
        <v>135</v>
      </c>
      <c r="G291" s="12">
        <v>46177</v>
      </c>
      <c r="H291" s="2" t="s">
        <v>233</v>
      </c>
      <c r="I291" s="2">
        <v>94447.64</v>
      </c>
      <c r="J291" s="2"/>
      <c r="K291" s="2"/>
    </row>
    <row r="292" spans="1:14" x14ac:dyDescent="0.3">
      <c r="A292" s="2" t="s">
        <v>372</v>
      </c>
      <c r="B292" s="2" t="s">
        <v>165</v>
      </c>
      <c r="C292" s="2" t="s">
        <v>196</v>
      </c>
      <c r="D292" s="2" t="s">
        <v>373</v>
      </c>
      <c r="E292" s="12">
        <v>45879</v>
      </c>
      <c r="F292" s="2">
        <v>80</v>
      </c>
      <c r="G292" s="12">
        <v>45959</v>
      </c>
      <c r="H292" s="2" t="s">
        <v>230</v>
      </c>
      <c r="I292" s="2">
        <v>69228.19</v>
      </c>
      <c r="J292" s="2"/>
      <c r="K292" s="2"/>
      <c r="L292" s="2"/>
      <c r="M292" s="12"/>
    </row>
    <row r="293" spans="1:14" x14ac:dyDescent="0.3">
      <c r="A293" s="2" t="s">
        <v>374</v>
      </c>
      <c r="B293" s="2" t="s">
        <v>139</v>
      </c>
      <c r="C293" s="2" t="s">
        <v>196</v>
      </c>
      <c r="D293" s="2" t="s">
        <v>375</v>
      </c>
      <c r="E293" s="12">
        <v>45300</v>
      </c>
      <c r="F293" s="2">
        <v>110</v>
      </c>
      <c r="G293" s="12">
        <v>45410</v>
      </c>
      <c r="H293" s="2" t="s">
        <v>233</v>
      </c>
      <c r="I293" s="2">
        <v>87403.92</v>
      </c>
      <c r="J293" s="2"/>
      <c r="K293" s="2"/>
    </row>
    <row r="294" spans="1:14" x14ac:dyDescent="0.3">
      <c r="A294" s="2" t="s">
        <v>376</v>
      </c>
      <c r="B294" s="2" t="s">
        <v>92</v>
      </c>
      <c r="C294" s="2" t="s">
        <v>207</v>
      </c>
      <c r="D294" s="2" t="s">
        <v>377</v>
      </c>
      <c r="E294" s="12">
        <v>45365</v>
      </c>
      <c r="F294" s="2">
        <v>162</v>
      </c>
      <c r="G294" s="12">
        <v>45527</v>
      </c>
      <c r="H294" s="2" t="s">
        <v>233</v>
      </c>
      <c r="I294" s="2">
        <v>145048.17000000001</v>
      </c>
      <c r="J294" s="2"/>
      <c r="K294" s="2"/>
    </row>
    <row r="295" spans="1:14" x14ac:dyDescent="0.3">
      <c r="A295" s="2" t="s">
        <v>378</v>
      </c>
      <c r="B295" s="2" t="s">
        <v>98</v>
      </c>
      <c r="C295" s="2" t="s">
        <v>204</v>
      </c>
      <c r="D295" s="2" t="s">
        <v>379</v>
      </c>
      <c r="E295" s="12">
        <v>45783</v>
      </c>
      <c r="F295" s="2">
        <v>58</v>
      </c>
      <c r="G295" s="12">
        <v>45841</v>
      </c>
      <c r="H295" s="2" t="s">
        <v>233</v>
      </c>
      <c r="I295" s="2">
        <v>71933.88</v>
      </c>
      <c r="J295" s="2"/>
      <c r="K295" s="2"/>
    </row>
    <row r="296" spans="1:14" x14ac:dyDescent="0.3">
      <c r="A296" s="2" t="s">
        <v>380</v>
      </c>
      <c r="B296" s="2" t="s">
        <v>62</v>
      </c>
      <c r="C296" s="2" t="s">
        <v>201</v>
      </c>
      <c r="D296" s="2" t="s">
        <v>381</v>
      </c>
      <c r="E296" s="12">
        <v>45544</v>
      </c>
      <c r="F296" s="2">
        <v>161</v>
      </c>
      <c r="G296" s="12">
        <v>45705</v>
      </c>
      <c r="H296" s="2" t="s">
        <v>236</v>
      </c>
      <c r="I296" s="2">
        <v>243142.39999999999</v>
      </c>
      <c r="J296" s="2"/>
      <c r="K296" s="2"/>
      <c r="L296" s="2"/>
      <c r="M296" s="12"/>
      <c r="N296" s="2"/>
    </row>
    <row r="297" spans="1:14" x14ac:dyDescent="0.3">
      <c r="A297" s="2" t="s">
        <v>382</v>
      </c>
      <c r="B297" s="2" t="s">
        <v>151</v>
      </c>
      <c r="C297" s="2" t="s">
        <v>213</v>
      </c>
      <c r="D297" s="2" t="s">
        <v>383</v>
      </c>
      <c r="E297" s="12">
        <v>45521</v>
      </c>
      <c r="F297" s="2">
        <v>167</v>
      </c>
      <c r="G297" s="12">
        <v>45688</v>
      </c>
      <c r="H297" s="2" t="s">
        <v>236</v>
      </c>
      <c r="I297" s="2">
        <v>81366.850000000006</v>
      </c>
      <c r="J297" s="2"/>
      <c r="K297" s="2"/>
      <c r="L297" s="2"/>
      <c r="M297" s="12"/>
      <c r="N297" s="2"/>
    </row>
    <row r="298" spans="1:14" x14ac:dyDescent="0.3">
      <c r="A298" s="2" t="s">
        <v>384</v>
      </c>
      <c r="B298" s="2" t="s">
        <v>173</v>
      </c>
      <c r="C298" s="2" t="s">
        <v>204</v>
      </c>
      <c r="D298" s="2" t="s">
        <v>385</v>
      </c>
      <c r="E298" s="12">
        <v>45810</v>
      </c>
      <c r="F298" s="2">
        <v>174</v>
      </c>
      <c r="G298" s="12">
        <v>45984</v>
      </c>
      <c r="H298" s="2" t="s">
        <v>233</v>
      </c>
      <c r="I298" s="2">
        <v>95287.03</v>
      </c>
      <c r="J298" s="2"/>
      <c r="K298" s="2"/>
    </row>
    <row r="299" spans="1:14" x14ac:dyDescent="0.3">
      <c r="A299" s="2" t="s">
        <v>386</v>
      </c>
      <c r="B299" s="2" t="s">
        <v>77</v>
      </c>
      <c r="C299" s="2" t="s">
        <v>201</v>
      </c>
      <c r="D299" s="2" t="s">
        <v>387</v>
      </c>
      <c r="E299" s="12">
        <v>45465</v>
      </c>
      <c r="F299" s="2">
        <v>103</v>
      </c>
      <c r="G299" s="12">
        <v>45568</v>
      </c>
      <c r="H299" s="2" t="s">
        <v>236</v>
      </c>
      <c r="I299" s="2">
        <v>219988.76</v>
      </c>
      <c r="J299" s="2"/>
      <c r="K299" s="2"/>
      <c r="L299" s="2"/>
      <c r="M299" s="12"/>
      <c r="N299" s="2"/>
    </row>
    <row r="300" spans="1:14" x14ac:dyDescent="0.3">
      <c r="A300" s="2" t="s">
        <v>388</v>
      </c>
      <c r="B300" s="2" t="s">
        <v>159</v>
      </c>
      <c r="C300" s="2" t="s">
        <v>204</v>
      </c>
      <c r="D300" s="2" t="s">
        <v>389</v>
      </c>
      <c r="E300" s="12">
        <v>45944</v>
      </c>
      <c r="F300" s="2">
        <v>46</v>
      </c>
      <c r="G300" s="12">
        <v>45990</v>
      </c>
      <c r="H300" s="2" t="s">
        <v>233</v>
      </c>
      <c r="I300" s="2">
        <v>63004.639999999999</v>
      </c>
      <c r="J300" s="2"/>
      <c r="K300" s="2"/>
    </row>
    <row r="301" spans="1:14" x14ac:dyDescent="0.3">
      <c r="A301" s="2" t="s">
        <v>390</v>
      </c>
      <c r="B301" s="2" t="s">
        <v>173</v>
      </c>
      <c r="C301" s="2" t="s">
        <v>204</v>
      </c>
      <c r="D301" s="2" t="s">
        <v>391</v>
      </c>
      <c r="E301" s="12">
        <v>45459</v>
      </c>
      <c r="F301" s="2">
        <v>113</v>
      </c>
      <c r="G301" s="12">
        <v>45572</v>
      </c>
      <c r="H301" s="2" t="s">
        <v>236</v>
      </c>
      <c r="I301" s="2">
        <v>69692.990000000005</v>
      </c>
      <c r="J301" s="2"/>
      <c r="K301" s="2"/>
      <c r="L301" s="2"/>
      <c r="M301" s="12"/>
      <c r="N301" s="2"/>
    </row>
    <row r="302" spans="1:14" x14ac:dyDescent="0.3">
      <c r="A302" s="2" t="s">
        <v>392</v>
      </c>
      <c r="B302" s="2" t="s">
        <v>173</v>
      </c>
      <c r="C302" s="2" t="s">
        <v>193</v>
      </c>
      <c r="D302" s="2" t="s">
        <v>393</v>
      </c>
      <c r="E302" s="12">
        <v>45461</v>
      </c>
      <c r="F302" s="2">
        <v>98</v>
      </c>
      <c r="G302" s="12">
        <v>45559</v>
      </c>
      <c r="H302" s="2" t="s">
        <v>233</v>
      </c>
      <c r="I302" s="2">
        <v>117408.6</v>
      </c>
      <c r="J302" s="2"/>
      <c r="K302" s="2"/>
    </row>
    <row r="303" spans="1:14" x14ac:dyDescent="0.3">
      <c r="A303" s="2" t="s">
        <v>394</v>
      </c>
      <c r="B303" s="2" t="s">
        <v>106</v>
      </c>
      <c r="C303" s="2" t="s">
        <v>196</v>
      </c>
      <c r="D303" s="2" t="s">
        <v>395</v>
      </c>
      <c r="E303" s="12">
        <v>45684</v>
      </c>
      <c r="F303" s="2">
        <v>63</v>
      </c>
      <c r="G303" s="12">
        <v>45747</v>
      </c>
      <c r="H303" s="2" t="s">
        <v>236</v>
      </c>
      <c r="I303" s="2">
        <v>123646.6</v>
      </c>
      <c r="J303" s="2"/>
      <c r="K303" s="2"/>
      <c r="L303" s="2"/>
      <c r="M303" s="12"/>
      <c r="N303" s="2"/>
    </row>
    <row r="304" spans="1:14" x14ac:dyDescent="0.3">
      <c r="A304" s="2" t="s">
        <v>396</v>
      </c>
      <c r="B304" s="2" t="s">
        <v>55</v>
      </c>
      <c r="C304" s="2" t="s">
        <v>213</v>
      </c>
      <c r="D304" s="2" t="s">
        <v>397</v>
      </c>
      <c r="E304" s="12">
        <v>46086</v>
      </c>
      <c r="F304" s="2">
        <v>35</v>
      </c>
      <c r="G304" s="12">
        <v>46121</v>
      </c>
      <c r="H304" s="2" t="s">
        <v>236</v>
      </c>
      <c r="I304" s="2">
        <v>94440.91</v>
      </c>
      <c r="J304" s="2"/>
      <c r="K304" s="2"/>
      <c r="L304" s="2"/>
      <c r="M304" s="12"/>
      <c r="N304" s="2"/>
    </row>
    <row r="305" spans="1:14" x14ac:dyDescent="0.3">
      <c r="A305" s="2" t="s">
        <v>398</v>
      </c>
      <c r="B305" s="2" t="s">
        <v>6</v>
      </c>
      <c r="C305" s="2" t="s">
        <v>204</v>
      </c>
      <c r="D305" s="2" t="s">
        <v>399</v>
      </c>
      <c r="E305" s="12">
        <v>45925</v>
      </c>
      <c r="F305" s="2">
        <v>82</v>
      </c>
      <c r="G305" s="12">
        <v>46007</v>
      </c>
      <c r="H305" s="2" t="s">
        <v>233</v>
      </c>
      <c r="I305" s="2">
        <v>76038.100000000006</v>
      </c>
      <c r="J305" s="2"/>
      <c r="K305" s="2"/>
    </row>
    <row r="306" spans="1:14" x14ac:dyDescent="0.3">
      <c r="A306" s="2" t="s">
        <v>400</v>
      </c>
      <c r="B306" s="2" t="s">
        <v>149</v>
      </c>
      <c r="C306" s="2" t="s">
        <v>213</v>
      </c>
      <c r="D306" s="2" t="s">
        <v>401</v>
      </c>
      <c r="E306" s="12">
        <v>45485</v>
      </c>
      <c r="F306" s="2">
        <v>155</v>
      </c>
      <c r="G306" s="12">
        <v>45640</v>
      </c>
      <c r="H306" s="2" t="s">
        <v>236</v>
      </c>
      <c r="I306" s="2">
        <v>62754.95</v>
      </c>
      <c r="J306" s="2"/>
      <c r="K306" s="2"/>
      <c r="L306" s="2"/>
      <c r="M306" s="12"/>
      <c r="N306" s="2"/>
    </row>
    <row r="307" spans="1:14" x14ac:dyDescent="0.3">
      <c r="A307" s="2" t="s">
        <v>402</v>
      </c>
      <c r="B307" s="2" t="s">
        <v>112</v>
      </c>
      <c r="C307" s="2" t="s">
        <v>207</v>
      </c>
      <c r="D307" s="2" t="s">
        <v>403</v>
      </c>
      <c r="E307" s="12">
        <v>45808</v>
      </c>
      <c r="F307" s="2">
        <v>72</v>
      </c>
      <c r="G307" s="12">
        <v>45880</v>
      </c>
      <c r="H307" s="2" t="s">
        <v>233</v>
      </c>
      <c r="I307" s="2">
        <v>146754.79</v>
      </c>
      <c r="J307" s="2"/>
      <c r="K307" s="2"/>
    </row>
    <row r="308" spans="1:14" x14ac:dyDescent="0.3">
      <c r="A308" s="2" t="s">
        <v>404</v>
      </c>
      <c r="B308" s="2" t="s">
        <v>110</v>
      </c>
      <c r="C308" s="2" t="s">
        <v>204</v>
      </c>
      <c r="D308" s="2" t="s">
        <v>405</v>
      </c>
      <c r="E308" s="12">
        <v>45320</v>
      </c>
      <c r="F308" s="2">
        <v>144</v>
      </c>
      <c r="G308" s="12">
        <v>45464</v>
      </c>
      <c r="H308" s="2" t="s">
        <v>236</v>
      </c>
      <c r="I308" s="2">
        <v>93323.57</v>
      </c>
      <c r="J308" s="2"/>
      <c r="K308" s="2"/>
      <c r="L308" s="2"/>
      <c r="M308" s="12"/>
      <c r="N308" s="2"/>
    </row>
    <row r="309" spans="1:14" x14ac:dyDescent="0.3">
      <c r="A309" s="2" t="s">
        <v>406</v>
      </c>
      <c r="B309" s="2" t="s">
        <v>74</v>
      </c>
      <c r="C309" s="2" t="s">
        <v>198</v>
      </c>
      <c r="D309" s="2" t="s">
        <v>407</v>
      </c>
      <c r="E309" s="12">
        <v>45456</v>
      </c>
      <c r="F309" s="2">
        <v>140</v>
      </c>
      <c r="G309" s="12">
        <v>45596</v>
      </c>
      <c r="H309" s="2" t="s">
        <v>236</v>
      </c>
      <c r="I309" s="2">
        <v>163810.96</v>
      </c>
      <c r="J309" s="2"/>
      <c r="K309" s="2"/>
      <c r="L309" s="2"/>
      <c r="M309" s="12"/>
      <c r="N309" s="2"/>
    </row>
    <row r="310" spans="1:14" x14ac:dyDescent="0.3">
      <c r="A310" s="2" t="s">
        <v>408</v>
      </c>
      <c r="B310" s="2" t="s">
        <v>104</v>
      </c>
      <c r="C310" s="2" t="s">
        <v>196</v>
      </c>
      <c r="D310" s="2" t="s">
        <v>409</v>
      </c>
      <c r="E310" s="12">
        <v>45713</v>
      </c>
      <c r="F310" s="2">
        <v>180</v>
      </c>
      <c r="G310" s="12">
        <v>45893</v>
      </c>
      <c r="H310" s="2" t="s">
        <v>233</v>
      </c>
      <c r="I310" s="2">
        <v>154688.35999999999</v>
      </c>
      <c r="J310" s="2"/>
      <c r="K310" s="2"/>
    </row>
    <row r="311" spans="1:14" x14ac:dyDescent="0.3">
      <c r="A311" s="2" t="s">
        <v>410</v>
      </c>
      <c r="B311" s="2" t="s">
        <v>96</v>
      </c>
      <c r="C311" s="2" t="s">
        <v>198</v>
      </c>
      <c r="D311" s="2" t="s">
        <v>411</v>
      </c>
      <c r="E311" s="12">
        <v>45630</v>
      </c>
      <c r="F311" s="2">
        <v>109</v>
      </c>
      <c r="G311" s="12">
        <v>45739</v>
      </c>
      <c r="H311" s="2" t="s">
        <v>236</v>
      </c>
      <c r="I311" s="2">
        <v>146846.31</v>
      </c>
      <c r="J311" s="2"/>
      <c r="K311" s="2"/>
      <c r="L311" s="2"/>
      <c r="M311" s="12"/>
      <c r="N311" s="2"/>
    </row>
    <row r="312" spans="1:14" x14ac:dyDescent="0.3">
      <c r="A312" s="2" t="s">
        <v>412</v>
      </c>
      <c r="B312" s="2" t="s">
        <v>16</v>
      </c>
      <c r="C312" s="2" t="s">
        <v>213</v>
      </c>
      <c r="D312" s="2" t="s">
        <v>413</v>
      </c>
      <c r="E312" s="12">
        <v>45939</v>
      </c>
      <c r="F312" s="2">
        <v>124</v>
      </c>
      <c r="G312" s="12">
        <v>46063</v>
      </c>
      <c r="H312" s="2" t="s">
        <v>233</v>
      </c>
      <c r="I312" s="2">
        <v>104926.11</v>
      </c>
      <c r="J312" s="2"/>
      <c r="K312" s="2"/>
    </row>
    <row r="313" spans="1:14" x14ac:dyDescent="0.3">
      <c r="A313" s="2" t="s">
        <v>414</v>
      </c>
      <c r="B313" s="2" t="s">
        <v>114</v>
      </c>
      <c r="C313" s="2" t="s">
        <v>213</v>
      </c>
      <c r="D313" s="2" t="s">
        <v>415</v>
      </c>
      <c r="E313" s="12">
        <v>45787</v>
      </c>
      <c r="F313" s="2">
        <v>147</v>
      </c>
      <c r="G313" s="12">
        <v>45934</v>
      </c>
      <c r="H313" s="2" t="s">
        <v>233</v>
      </c>
      <c r="I313" s="2">
        <v>130011.09</v>
      </c>
      <c r="J313" s="2"/>
      <c r="K313" s="2"/>
    </row>
    <row r="314" spans="1:14" x14ac:dyDescent="0.3">
      <c r="A314" s="2" t="s">
        <v>416</v>
      </c>
      <c r="B314" s="2" t="s">
        <v>129</v>
      </c>
      <c r="C314" s="2" t="s">
        <v>196</v>
      </c>
      <c r="D314" s="2" t="s">
        <v>417</v>
      </c>
      <c r="E314" s="12">
        <v>45656</v>
      </c>
      <c r="F314" s="2">
        <v>173</v>
      </c>
      <c r="G314" s="12">
        <v>45829</v>
      </c>
      <c r="H314" s="2" t="s">
        <v>233</v>
      </c>
      <c r="I314" s="2">
        <v>111182.41</v>
      </c>
      <c r="J314" s="2"/>
      <c r="K314" s="2"/>
    </row>
    <row r="315" spans="1:14" x14ac:dyDescent="0.3">
      <c r="A315" s="2" t="s">
        <v>418</v>
      </c>
      <c r="B315" s="2" t="s">
        <v>42</v>
      </c>
      <c r="C315" s="2" t="s">
        <v>213</v>
      </c>
      <c r="D315" s="2" t="s">
        <v>419</v>
      </c>
      <c r="E315" s="12">
        <v>46124</v>
      </c>
      <c r="F315" s="2">
        <v>37</v>
      </c>
      <c r="G315" s="12">
        <v>46161</v>
      </c>
      <c r="H315" s="2" t="s">
        <v>233</v>
      </c>
      <c r="I315" s="2">
        <v>100893.02</v>
      </c>
      <c r="J315" s="2"/>
      <c r="K315" s="2"/>
    </row>
    <row r="316" spans="1:14" x14ac:dyDescent="0.3">
      <c r="A316" s="2" t="s">
        <v>420</v>
      </c>
      <c r="B316" s="2" t="s">
        <v>60</v>
      </c>
      <c r="C316" s="2" t="s">
        <v>198</v>
      </c>
      <c r="D316" s="2" t="s">
        <v>421</v>
      </c>
      <c r="E316" s="12">
        <v>45633</v>
      </c>
      <c r="F316" s="2">
        <v>161</v>
      </c>
      <c r="G316" s="12">
        <v>45794</v>
      </c>
      <c r="H316" s="2" t="s">
        <v>285</v>
      </c>
      <c r="I316" s="2">
        <v>101689.01</v>
      </c>
      <c r="J316" s="2"/>
      <c r="K316" s="2"/>
    </row>
    <row r="317" spans="1:14" x14ac:dyDescent="0.3">
      <c r="A317" s="2" t="s">
        <v>422</v>
      </c>
      <c r="B317" s="2" t="s">
        <v>114</v>
      </c>
      <c r="C317" s="2" t="s">
        <v>204</v>
      </c>
      <c r="D317" s="2" t="s">
        <v>423</v>
      </c>
      <c r="E317" s="12">
        <v>45791</v>
      </c>
      <c r="F317" s="2">
        <v>133</v>
      </c>
      <c r="G317" s="12">
        <v>45924</v>
      </c>
      <c r="H317" s="2" t="s">
        <v>230</v>
      </c>
      <c r="I317" s="2">
        <v>59329.26</v>
      </c>
      <c r="J317" s="2"/>
      <c r="K317" s="2"/>
      <c r="L317" s="2"/>
      <c r="M317" s="12"/>
    </row>
    <row r="318" spans="1:14" x14ac:dyDescent="0.3">
      <c r="A318" s="2" t="s">
        <v>424</v>
      </c>
      <c r="B318" s="2" t="s">
        <v>145</v>
      </c>
      <c r="C318" s="2" t="s">
        <v>204</v>
      </c>
      <c r="D318" s="2" t="s">
        <v>425</v>
      </c>
      <c r="E318" s="12">
        <v>45948</v>
      </c>
      <c r="F318" s="2">
        <v>161</v>
      </c>
      <c r="G318" s="12">
        <v>46109</v>
      </c>
      <c r="H318" s="2" t="s">
        <v>236</v>
      </c>
      <c r="I318" s="2">
        <v>73687.95</v>
      </c>
      <c r="J318" s="2"/>
      <c r="K318" s="2"/>
      <c r="L318" s="2"/>
      <c r="M318" s="12"/>
      <c r="N318" s="2"/>
    </row>
    <row r="319" spans="1:14" x14ac:dyDescent="0.3">
      <c r="A319" s="2" t="s">
        <v>426</v>
      </c>
      <c r="B319" s="2" t="s">
        <v>125</v>
      </c>
      <c r="C319" s="2" t="s">
        <v>193</v>
      </c>
      <c r="D319" s="2" t="s">
        <v>427</v>
      </c>
      <c r="E319" s="12">
        <v>45802</v>
      </c>
      <c r="F319" s="2">
        <v>54</v>
      </c>
      <c r="G319" s="12">
        <v>45856</v>
      </c>
      <c r="H319" s="2" t="s">
        <v>236</v>
      </c>
      <c r="I319" s="2">
        <v>74516.05</v>
      </c>
      <c r="J319" s="2"/>
      <c r="K319" s="2"/>
      <c r="L319" s="2"/>
      <c r="M319" s="12"/>
      <c r="N319" s="2"/>
    </row>
    <row r="320" spans="1:14" x14ac:dyDescent="0.3">
      <c r="A320" s="2" t="s">
        <v>428</v>
      </c>
      <c r="B320" s="2" t="s">
        <v>149</v>
      </c>
      <c r="C320" s="2" t="s">
        <v>207</v>
      </c>
      <c r="D320" s="2" t="s">
        <v>429</v>
      </c>
      <c r="E320" s="12">
        <v>45618</v>
      </c>
      <c r="F320" s="2">
        <v>125</v>
      </c>
      <c r="G320" s="12">
        <v>45743</v>
      </c>
      <c r="H320" s="2" t="s">
        <v>236</v>
      </c>
      <c r="I320" s="2">
        <v>190411.29</v>
      </c>
      <c r="J320" s="2"/>
      <c r="K320" s="2"/>
      <c r="L320" s="2"/>
      <c r="M320" s="12"/>
      <c r="N320" s="2"/>
    </row>
    <row r="321" spans="1:14" x14ac:dyDescent="0.3">
      <c r="A321" s="2" t="s">
        <v>430</v>
      </c>
      <c r="B321" s="2" t="s">
        <v>55</v>
      </c>
      <c r="C321" s="2" t="s">
        <v>213</v>
      </c>
      <c r="D321" s="2" t="s">
        <v>431</v>
      </c>
      <c r="E321" s="12">
        <v>45508</v>
      </c>
      <c r="F321" s="2">
        <v>122</v>
      </c>
      <c r="G321" s="12">
        <v>45630</v>
      </c>
      <c r="H321" s="2" t="s">
        <v>236</v>
      </c>
      <c r="I321" s="2">
        <v>135714.72</v>
      </c>
      <c r="J321" s="2"/>
      <c r="K321" s="2"/>
      <c r="L321" s="2"/>
      <c r="M321" s="12"/>
      <c r="N321" s="2"/>
    </row>
    <row r="322" spans="1:14" x14ac:dyDescent="0.3">
      <c r="A322" s="2" t="s">
        <v>432</v>
      </c>
      <c r="B322" s="2" t="s">
        <v>175</v>
      </c>
      <c r="C322" s="2" t="s">
        <v>198</v>
      </c>
      <c r="D322" s="2" t="s">
        <v>433</v>
      </c>
      <c r="E322" s="12">
        <v>45592</v>
      </c>
      <c r="F322" s="2">
        <v>90</v>
      </c>
      <c r="G322" s="12">
        <v>45682</v>
      </c>
      <c r="H322" s="2" t="s">
        <v>233</v>
      </c>
      <c r="I322" s="2">
        <v>152767.89000000001</v>
      </c>
      <c r="J322" s="2"/>
      <c r="K322" s="2"/>
    </row>
    <row r="323" spans="1:14" x14ac:dyDescent="0.3">
      <c r="A323" s="2" t="s">
        <v>434</v>
      </c>
      <c r="B323" s="2" t="s">
        <v>141</v>
      </c>
      <c r="C323" s="2" t="s">
        <v>213</v>
      </c>
      <c r="D323" s="2" t="s">
        <v>435</v>
      </c>
      <c r="E323" s="12">
        <v>45423</v>
      </c>
      <c r="F323" s="2">
        <v>151</v>
      </c>
      <c r="G323" s="12">
        <v>45574</v>
      </c>
      <c r="H323" s="2" t="s">
        <v>285</v>
      </c>
      <c r="I323" s="2">
        <v>83009.31</v>
      </c>
      <c r="J323" s="2"/>
      <c r="K323" s="2"/>
    </row>
    <row r="324" spans="1:14" x14ac:dyDescent="0.3">
      <c r="A324" s="2" t="s">
        <v>436</v>
      </c>
      <c r="B324" s="2" t="s">
        <v>137</v>
      </c>
      <c r="C324" s="2" t="s">
        <v>213</v>
      </c>
      <c r="D324" s="2" t="s">
        <v>437</v>
      </c>
      <c r="E324" s="12">
        <v>46095</v>
      </c>
      <c r="F324" s="2">
        <v>80</v>
      </c>
      <c r="G324" s="12">
        <v>46175</v>
      </c>
      <c r="H324" s="2" t="s">
        <v>236</v>
      </c>
      <c r="I324" s="2">
        <v>106659.08</v>
      </c>
      <c r="J324" s="2"/>
      <c r="K324" s="2"/>
      <c r="L324" s="2"/>
      <c r="M324" s="12"/>
      <c r="N324" s="2"/>
    </row>
    <row r="325" spans="1:14" x14ac:dyDescent="0.3">
      <c r="A325" s="2" t="s">
        <v>438</v>
      </c>
      <c r="B325" s="2" t="s">
        <v>121</v>
      </c>
      <c r="C325" s="2" t="s">
        <v>201</v>
      </c>
      <c r="D325" s="2" t="s">
        <v>439</v>
      </c>
      <c r="E325" s="12">
        <v>45361</v>
      </c>
      <c r="F325" s="2">
        <v>176</v>
      </c>
      <c r="G325" s="12">
        <v>45537</v>
      </c>
      <c r="H325" s="2" t="s">
        <v>236</v>
      </c>
      <c r="I325" s="2">
        <v>158847.73000000001</v>
      </c>
      <c r="J325" s="2"/>
      <c r="K325" s="2"/>
      <c r="L325" s="2"/>
      <c r="M325" s="12"/>
      <c r="N325" s="2"/>
    </row>
    <row r="326" spans="1:14" x14ac:dyDescent="0.3">
      <c r="A326" s="2" t="s">
        <v>440</v>
      </c>
      <c r="B326" s="2" t="s">
        <v>42</v>
      </c>
      <c r="C326" s="2" t="s">
        <v>193</v>
      </c>
      <c r="D326" s="2" t="s">
        <v>441</v>
      </c>
      <c r="E326" s="12">
        <v>45543</v>
      </c>
      <c r="F326" s="2">
        <v>50</v>
      </c>
      <c r="G326" s="12">
        <v>45593</v>
      </c>
      <c r="H326" s="2" t="s">
        <v>236</v>
      </c>
      <c r="I326" s="2">
        <v>68204.570000000007</v>
      </c>
      <c r="J326" s="2"/>
      <c r="K326" s="2"/>
      <c r="L326" s="2"/>
      <c r="M326" s="12"/>
      <c r="N326" s="2"/>
    </row>
    <row r="327" spans="1:14" x14ac:dyDescent="0.3">
      <c r="A327" s="2" t="s">
        <v>442</v>
      </c>
      <c r="B327" s="2" t="s">
        <v>151</v>
      </c>
      <c r="C327" s="2" t="s">
        <v>198</v>
      </c>
      <c r="D327" s="2" t="s">
        <v>443</v>
      </c>
      <c r="E327" s="12">
        <v>45706</v>
      </c>
      <c r="F327" s="2">
        <v>34</v>
      </c>
      <c r="G327" s="12">
        <v>45740</v>
      </c>
      <c r="H327" s="2" t="s">
        <v>233</v>
      </c>
      <c r="I327" s="2">
        <v>118092</v>
      </c>
      <c r="J327" s="2"/>
      <c r="K327" s="2"/>
    </row>
    <row r="328" spans="1:14" x14ac:dyDescent="0.3">
      <c r="A328" s="2" t="s">
        <v>444</v>
      </c>
      <c r="B328" s="2" t="s">
        <v>187</v>
      </c>
      <c r="C328" s="2" t="s">
        <v>198</v>
      </c>
      <c r="D328" s="2" t="s">
        <v>445</v>
      </c>
      <c r="E328" s="12">
        <v>46078</v>
      </c>
      <c r="F328" s="2">
        <v>121</v>
      </c>
      <c r="G328" s="12">
        <v>46199</v>
      </c>
      <c r="H328" s="2" t="s">
        <v>233</v>
      </c>
      <c r="I328" s="2">
        <v>147200.60999999999</v>
      </c>
      <c r="J328" s="2"/>
      <c r="K328" s="2"/>
    </row>
    <row r="329" spans="1:14" x14ac:dyDescent="0.3">
      <c r="A329" s="2" t="s">
        <v>446</v>
      </c>
      <c r="B329" s="2" t="s">
        <v>34</v>
      </c>
      <c r="C329" s="2" t="s">
        <v>213</v>
      </c>
      <c r="D329" s="2" t="s">
        <v>447</v>
      </c>
      <c r="E329" s="12">
        <v>45736</v>
      </c>
      <c r="F329" s="2">
        <v>90</v>
      </c>
      <c r="G329" s="12">
        <v>45826</v>
      </c>
      <c r="H329" s="2" t="s">
        <v>236</v>
      </c>
      <c r="I329" s="2">
        <v>65770.3</v>
      </c>
      <c r="J329" s="2"/>
      <c r="K329" s="2"/>
      <c r="L329" s="2"/>
      <c r="M329" s="12"/>
      <c r="N329" s="2"/>
    </row>
    <row r="330" spans="1:14" x14ac:dyDescent="0.3">
      <c r="A330" s="2" t="s">
        <v>448</v>
      </c>
      <c r="B330" s="2" t="s">
        <v>64</v>
      </c>
      <c r="C330" s="2" t="s">
        <v>193</v>
      </c>
      <c r="D330" s="2" t="s">
        <v>449</v>
      </c>
      <c r="E330" s="12">
        <v>46167</v>
      </c>
      <c r="F330" s="2">
        <v>51</v>
      </c>
      <c r="G330" s="12">
        <v>46218</v>
      </c>
      <c r="H330" s="2" t="s">
        <v>285</v>
      </c>
      <c r="I330" s="2">
        <v>103760.96000000001</v>
      </c>
      <c r="J330" s="2"/>
      <c r="K330" s="2"/>
    </row>
    <row r="331" spans="1:14" x14ac:dyDescent="0.3">
      <c r="A331" s="2" t="s">
        <v>450</v>
      </c>
      <c r="B331" s="2" t="s">
        <v>187</v>
      </c>
      <c r="C331" s="2" t="s">
        <v>204</v>
      </c>
      <c r="D331" s="2" t="s">
        <v>451</v>
      </c>
      <c r="E331" s="12">
        <v>45473</v>
      </c>
      <c r="F331" s="2">
        <v>178</v>
      </c>
      <c r="G331" s="12">
        <v>45651</v>
      </c>
      <c r="H331" s="2" t="s">
        <v>233</v>
      </c>
      <c r="I331" s="2">
        <v>99976.76</v>
      </c>
      <c r="J331" s="2"/>
      <c r="K331" s="2"/>
    </row>
    <row r="332" spans="1:14" x14ac:dyDescent="0.3">
      <c r="A332" s="2" t="s">
        <v>452</v>
      </c>
      <c r="B332" s="2" t="s">
        <v>167</v>
      </c>
      <c r="C332" s="2" t="s">
        <v>198</v>
      </c>
      <c r="D332" s="2" t="s">
        <v>453</v>
      </c>
      <c r="E332" s="12">
        <v>45458</v>
      </c>
      <c r="F332" s="2">
        <v>99</v>
      </c>
      <c r="G332" s="12">
        <v>45557</v>
      </c>
      <c r="H332" s="2" t="s">
        <v>236</v>
      </c>
      <c r="I332" s="2">
        <v>109486.67</v>
      </c>
      <c r="J332" s="2"/>
      <c r="K332" s="2"/>
      <c r="L332" s="2"/>
      <c r="M332" s="12"/>
      <c r="N332" s="2"/>
    </row>
    <row r="333" spans="1:14" x14ac:dyDescent="0.3">
      <c r="A333" s="2" t="s">
        <v>454</v>
      </c>
      <c r="B333" s="2" t="s">
        <v>171</v>
      </c>
      <c r="C333" s="2" t="s">
        <v>204</v>
      </c>
      <c r="D333" s="2" t="s">
        <v>455</v>
      </c>
      <c r="E333" s="12">
        <v>45382</v>
      </c>
      <c r="F333" s="2">
        <v>30</v>
      </c>
      <c r="G333" s="12">
        <v>45412</v>
      </c>
      <c r="H333" s="2" t="s">
        <v>233</v>
      </c>
      <c r="I333" s="2">
        <v>79692.97</v>
      </c>
      <c r="J333" s="2"/>
      <c r="K333" s="2"/>
    </row>
    <row r="334" spans="1:14" x14ac:dyDescent="0.3">
      <c r="A334" s="2" t="s">
        <v>456</v>
      </c>
      <c r="B334" s="2" t="s">
        <v>74</v>
      </c>
      <c r="C334" s="2" t="s">
        <v>193</v>
      </c>
      <c r="D334" s="2" t="s">
        <v>457</v>
      </c>
      <c r="E334" s="12">
        <v>46005</v>
      </c>
      <c r="F334" s="2">
        <v>162</v>
      </c>
      <c r="G334" s="12">
        <v>46167</v>
      </c>
      <c r="H334" s="2" t="s">
        <v>233</v>
      </c>
      <c r="I334" s="2">
        <v>111607.94</v>
      </c>
      <c r="J334" s="2"/>
      <c r="K334" s="2"/>
    </row>
    <row r="335" spans="1:14" x14ac:dyDescent="0.3">
      <c r="A335" s="2" t="s">
        <v>458</v>
      </c>
      <c r="B335" s="2" t="s">
        <v>42</v>
      </c>
      <c r="C335" s="2" t="s">
        <v>204</v>
      </c>
      <c r="D335" s="2" t="s">
        <v>459</v>
      </c>
      <c r="E335" s="12">
        <v>46149</v>
      </c>
      <c r="F335" s="2">
        <v>41</v>
      </c>
      <c r="G335" s="12">
        <v>46190</v>
      </c>
      <c r="H335" s="2" t="s">
        <v>236</v>
      </c>
      <c r="I335" s="2">
        <v>79380.73</v>
      </c>
      <c r="J335" s="2"/>
      <c r="K335" s="2"/>
      <c r="L335" s="2"/>
      <c r="M335" s="12"/>
      <c r="N335" s="2"/>
    </row>
    <row r="336" spans="1:14" x14ac:dyDescent="0.3">
      <c r="A336" s="2" t="s">
        <v>460</v>
      </c>
      <c r="B336" s="2" t="s">
        <v>50</v>
      </c>
      <c r="C336" s="2" t="s">
        <v>196</v>
      </c>
      <c r="D336" s="2" t="s">
        <v>461</v>
      </c>
      <c r="E336" s="12">
        <v>45822</v>
      </c>
      <c r="F336" s="2">
        <v>119</v>
      </c>
      <c r="G336" s="12">
        <v>45941</v>
      </c>
      <c r="H336" s="2" t="s">
        <v>236</v>
      </c>
      <c r="I336" s="2">
        <v>111766.52</v>
      </c>
      <c r="J336" s="2"/>
      <c r="K336" s="2"/>
      <c r="L336" s="2"/>
      <c r="M336" s="12"/>
      <c r="N336" s="2"/>
    </row>
    <row r="337" spans="1:14" x14ac:dyDescent="0.3">
      <c r="A337" s="2" t="s">
        <v>462</v>
      </c>
      <c r="B337" s="2" t="s">
        <v>145</v>
      </c>
      <c r="C337" s="2" t="s">
        <v>201</v>
      </c>
      <c r="D337" s="2" t="s">
        <v>463</v>
      </c>
      <c r="E337" s="12">
        <v>45330</v>
      </c>
      <c r="F337" s="2">
        <v>75</v>
      </c>
      <c r="G337" s="12">
        <v>45405</v>
      </c>
      <c r="H337" s="2" t="s">
        <v>236</v>
      </c>
      <c r="I337" s="2">
        <v>210891.1</v>
      </c>
      <c r="J337" s="2"/>
      <c r="K337" s="2"/>
      <c r="L337" s="2"/>
      <c r="M337" s="12"/>
      <c r="N337" s="2"/>
    </row>
    <row r="338" spans="1:14" x14ac:dyDescent="0.3">
      <c r="A338" s="2" t="s">
        <v>464</v>
      </c>
      <c r="B338" s="2" t="s">
        <v>77</v>
      </c>
      <c r="C338" s="2" t="s">
        <v>210</v>
      </c>
      <c r="D338" s="2" t="s">
        <v>465</v>
      </c>
      <c r="E338" s="12">
        <v>45417</v>
      </c>
      <c r="F338" s="2">
        <v>63</v>
      </c>
      <c r="G338" s="12">
        <v>45480</v>
      </c>
      <c r="H338" s="2" t="s">
        <v>236</v>
      </c>
      <c r="I338" s="2">
        <v>177731.51</v>
      </c>
      <c r="J338" s="2"/>
      <c r="K338" s="2"/>
      <c r="L338" s="2"/>
      <c r="M338" s="12"/>
      <c r="N338" s="2"/>
    </row>
    <row r="339" spans="1:14" x14ac:dyDescent="0.3">
      <c r="A339" s="2" t="s">
        <v>466</v>
      </c>
      <c r="B339" s="2" t="s">
        <v>77</v>
      </c>
      <c r="C339" s="2" t="s">
        <v>198</v>
      </c>
      <c r="D339" s="2" t="s">
        <v>467</v>
      </c>
      <c r="E339" s="12">
        <v>45742</v>
      </c>
      <c r="F339" s="2">
        <v>107</v>
      </c>
      <c r="G339" s="12">
        <v>45849</v>
      </c>
      <c r="H339" s="2" t="s">
        <v>285</v>
      </c>
      <c r="I339" s="2">
        <v>157937.79999999999</v>
      </c>
      <c r="J339" s="2"/>
      <c r="K339" s="2"/>
    </row>
    <row r="340" spans="1:14" x14ac:dyDescent="0.3">
      <c r="A340" s="2" t="s">
        <v>468</v>
      </c>
      <c r="B340" s="2" t="s">
        <v>121</v>
      </c>
      <c r="C340" s="2" t="s">
        <v>207</v>
      </c>
      <c r="D340" s="2" t="s">
        <v>469</v>
      </c>
      <c r="E340" s="12">
        <v>45464</v>
      </c>
      <c r="F340" s="2">
        <v>74</v>
      </c>
      <c r="G340" s="12">
        <v>45538</v>
      </c>
      <c r="H340" s="2" t="s">
        <v>285</v>
      </c>
      <c r="I340" s="2">
        <v>89405.22</v>
      </c>
      <c r="J340" s="2"/>
      <c r="K340" s="2"/>
    </row>
    <row r="341" spans="1:14" x14ac:dyDescent="0.3">
      <c r="A341" s="2" t="s">
        <v>470</v>
      </c>
      <c r="B341" s="2" t="s">
        <v>90</v>
      </c>
      <c r="C341" s="2" t="s">
        <v>201</v>
      </c>
      <c r="D341" s="2" t="s">
        <v>471</v>
      </c>
      <c r="E341" s="12">
        <v>45944</v>
      </c>
      <c r="F341" s="2">
        <v>102</v>
      </c>
      <c r="G341" s="12">
        <v>46046</v>
      </c>
      <c r="H341" s="2" t="s">
        <v>236</v>
      </c>
      <c r="I341" s="2">
        <v>200116.46</v>
      </c>
      <c r="J341" s="2"/>
      <c r="K341" s="2"/>
      <c r="L341" s="2"/>
      <c r="M341" s="12"/>
      <c r="N341" s="2"/>
    </row>
    <row r="342" spans="1:14" x14ac:dyDescent="0.3">
      <c r="A342" s="2" t="s">
        <v>472</v>
      </c>
      <c r="B342" s="2" t="s">
        <v>38</v>
      </c>
      <c r="C342" s="2" t="s">
        <v>210</v>
      </c>
      <c r="D342" s="2" t="s">
        <v>473</v>
      </c>
      <c r="E342" s="12">
        <v>46045</v>
      </c>
      <c r="F342" s="2">
        <v>55</v>
      </c>
      <c r="G342" s="12">
        <v>46100</v>
      </c>
      <c r="H342" s="2" t="s">
        <v>236</v>
      </c>
      <c r="I342" s="2">
        <v>168845.96</v>
      </c>
      <c r="J342" s="2"/>
      <c r="K342" s="2"/>
      <c r="L342" s="2"/>
      <c r="M342" s="12"/>
      <c r="N342" s="2"/>
    </row>
    <row r="343" spans="1:14" x14ac:dyDescent="0.3">
      <c r="A343" s="2" t="s">
        <v>474</v>
      </c>
      <c r="B343" s="2" t="s">
        <v>53</v>
      </c>
      <c r="C343" s="2" t="s">
        <v>204</v>
      </c>
      <c r="D343" s="2" t="s">
        <v>475</v>
      </c>
      <c r="E343" s="12">
        <v>45511</v>
      </c>
      <c r="F343" s="2">
        <v>76</v>
      </c>
      <c r="G343" s="12">
        <v>45587</v>
      </c>
      <c r="H343" s="2" t="s">
        <v>236</v>
      </c>
      <c r="I343" s="2">
        <v>69976.12</v>
      </c>
      <c r="J343" s="2"/>
      <c r="K343" s="2"/>
      <c r="L343" s="2"/>
      <c r="M343" s="12"/>
      <c r="N343" s="2"/>
    </row>
    <row r="344" spans="1:14" x14ac:dyDescent="0.3">
      <c r="A344" s="2" t="s">
        <v>476</v>
      </c>
      <c r="B344" s="2" t="s">
        <v>169</v>
      </c>
      <c r="C344" s="2" t="s">
        <v>198</v>
      </c>
      <c r="D344" s="2" t="s">
        <v>477</v>
      </c>
      <c r="E344" s="12">
        <v>45929</v>
      </c>
      <c r="F344" s="2">
        <v>150</v>
      </c>
      <c r="G344" s="12">
        <v>46079</v>
      </c>
      <c r="H344" s="2" t="s">
        <v>236</v>
      </c>
      <c r="I344" s="2">
        <v>157507.98000000001</v>
      </c>
      <c r="J344" s="2"/>
      <c r="K344" s="2"/>
      <c r="L344" s="2"/>
      <c r="M344" s="12"/>
      <c r="N344" s="2"/>
    </row>
    <row r="345" spans="1:14" x14ac:dyDescent="0.3">
      <c r="A345" s="2" t="s">
        <v>478</v>
      </c>
      <c r="B345" s="2" t="s">
        <v>55</v>
      </c>
      <c r="C345" s="2" t="s">
        <v>204</v>
      </c>
      <c r="D345" s="2" t="s">
        <v>479</v>
      </c>
      <c r="E345" s="12">
        <v>45349</v>
      </c>
      <c r="F345" s="2">
        <v>85</v>
      </c>
      <c r="G345" s="12">
        <v>45434</v>
      </c>
      <c r="H345" s="2" t="s">
        <v>285</v>
      </c>
      <c r="I345" s="2">
        <v>79233.75</v>
      </c>
      <c r="J345" s="2"/>
      <c r="K345" s="2"/>
    </row>
    <row r="346" spans="1:14" x14ac:dyDescent="0.3">
      <c r="A346" s="2" t="s">
        <v>480</v>
      </c>
      <c r="B346" s="2" t="s">
        <v>70</v>
      </c>
      <c r="C346" s="2" t="s">
        <v>196</v>
      </c>
      <c r="D346" s="2" t="s">
        <v>481</v>
      </c>
      <c r="E346" s="12">
        <v>45951</v>
      </c>
      <c r="F346" s="2">
        <v>123</v>
      </c>
      <c r="G346" s="12">
        <v>46074</v>
      </c>
      <c r="H346" s="2" t="s">
        <v>236</v>
      </c>
      <c r="I346" s="2">
        <v>110681.98</v>
      </c>
      <c r="J346" s="2"/>
      <c r="K346" s="2"/>
      <c r="L346" s="2"/>
      <c r="M346" s="12"/>
      <c r="N346" s="2"/>
    </row>
    <row r="347" spans="1:14" x14ac:dyDescent="0.3">
      <c r="A347" s="2" t="s">
        <v>482</v>
      </c>
      <c r="B347" s="2" t="s">
        <v>77</v>
      </c>
      <c r="C347" s="2" t="s">
        <v>193</v>
      </c>
      <c r="D347" s="2" t="s">
        <v>483</v>
      </c>
      <c r="E347" s="12">
        <v>45767</v>
      </c>
      <c r="F347" s="2">
        <v>136</v>
      </c>
      <c r="G347" s="12">
        <v>45903</v>
      </c>
      <c r="H347" s="2" t="s">
        <v>236</v>
      </c>
      <c r="I347" s="2">
        <v>89819.44</v>
      </c>
      <c r="J347" s="2"/>
      <c r="K347" s="2"/>
      <c r="L347" s="2"/>
      <c r="M347" s="12"/>
      <c r="N347" s="2"/>
    </row>
    <row r="348" spans="1:14" x14ac:dyDescent="0.3">
      <c r="A348" s="2" t="s">
        <v>484</v>
      </c>
      <c r="B348" s="2" t="s">
        <v>30</v>
      </c>
      <c r="C348" s="2" t="s">
        <v>198</v>
      </c>
      <c r="D348" s="2" t="s">
        <v>485</v>
      </c>
      <c r="E348" s="12">
        <v>45747</v>
      </c>
      <c r="F348" s="2">
        <v>92</v>
      </c>
      <c r="G348" s="12">
        <v>45839</v>
      </c>
      <c r="H348" s="2" t="s">
        <v>236</v>
      </c>
      <c r="I348" s="2">
        <v>182818.39</v>
      </c>
      <c r="J348" s="2"/>
      <c r="K348" s="2"/>
      <c r="L348" s="2"/>
      <c r="M348" s="12"/>
      <c r="N348" s="2"/>
    </row>
    <row r="349" spans="1:14" x14ac:dyDescent="0.3">
      <c r="A349" s="2" t="s">
        <v>486</v>
      </c>
      <c r="B349" s="2" t="s">
        <v>47</v>
      </c>
      <c r="C349" s="2" t="s">
        <v>210</v>
      </c>
      <c r="D349" s="2" t="s">
        <v>487</v>
      </c>
      <c r="E349" s="12">
        <v>46120</v>
      </c>
      <c r="F349" s="2">
        <v>77</v>
      </c>
      <c r="G349" s="12">
        <v>46197</v>
      </c>
      <c r="H349" s="2" t="s">
        <v>233</v>
      </c>
      <c r="I349" s="2">
        <v>179634.92</v>
      </c>
      <c r="J349" s="2"/>
      <c r="K349" s="2"/>
    </row>
    <row r="350" spans="1:14" x14ac:dyDescent="0.3">
      <c r="A350" s="2" t="s">
        <v>488</v>
      </c>
      <c r="B350" s="2" t="s">
        <v>185</v>
      </c>
      <c r="C350" s="2" t="s">
        <v>210</v>
      </c>
      <c r="D350" s="2" t="s">
        <v>489</v>
      </c>
      <c r="E350" s="12">
        <v>46186</v>
      </c>
      <c r="F350" s="2">
        <v>90</v>
      </c>
      <c r="G350" s="12">
        <v>46276</v>
      </c>
      <c r="H350" s="2" t="s">
        <v>236</v>
      </c>
      <c r="I350" s="2">
        <v>177873.07</v>
      </c>
      <c r="J350" s="2"/>
      <c r="K350" s="2"/>
      <c r="L350" s="2"/>
      <c r="M350" s="12"/>
      <c r="N350" s="2"/>
    </row>
    <row r="351" spans="1:14" x14ac:dyDescent="0.3">
      <c r="A351" s="2" t="s">
        <v>490</v>
      </c>
      <c r="B351" s="2" t="s">
        <v>30</v>
      </c>
      <c r="C351" s="2" t="s">
        <v>196</v>
      </c>
      <c r="D351" s="2" t="s">
        <v>491</v>
      </c>
      <c r="E351" s="12">
        <v>45652</v>
      </c>
      <c r="F351" s="2">
        <v>110</v>
      </c>
      <c r="G351" s="12">
        <v>45762</v>
      </c>
      <c r="H351" s="2" t="s">
        <v>233</v>
      </c>
      <c r="I351" s="2">
        <v>111306.52</v>
      </c>
      <c r="J351" s="2"/>
      <c r="K351" s="2"/>
    </row>
    <row r="352" spans="1:14" x14ac:dyDescent="0.3">
      <c r="A352" s="2" t="s">
        <v>492</v>
      </c>
      <c r="B352" s="2" t="s">
        <v>36</v>
      </c>
      <c r="C352" s="2" t="s">
        <v>196</v>
      </c>
      <c r="D352" s="2" t="s">
        <v>493</v>
      </c>
      <c r="E352" s="12">
        <v>45292</v>
      </c>
      <c r="F352" s="2">
        <v>55</v>
      </c>
      <c r="G352" s="12">
        <v>45347</v>
      </c>
      <c r="H352" s="2" t="s">
        <v>236</v>
      </c>
      <c r="I352" s="2">
        <v>80725.39</v>
      </c>
      <c r="J352" s="2"/>
      <c r="K352" s="2"/>
      <c r="L352" s="2"/>
      <c r="M352" s="12"/>
      <c r="N352" s="2"/>
    </row>
    <row r="353" spans="1:14" x14ac:dyDescent="0.3">
      <c r="A353" s="2" t="s">
        <v>494</v>
      </c>
      <c r="B353" s="2" t="s">
        <v>123</v>
      </c>
      <c r="C353" s="2" t="s">
        <v>213</v>
      </c>
      <c r="D353" s="2" t="s">
        <v>495</v>
      </c>
      <c r="E353" s="12">
        <v>45678</v>
      </c>
      <c r="F353" s="2">
        <v>65</v>
      </c>
      <c r="G353" s="12">
        <v>45743</v>
      </c>
      <c r="H353" s="2" t="s">
        <v>233</v>
      </c>
      <c r="I353" s="2">
        <v>113198.43</v>
      </c>
      <c r="J353" s="2"/>
      <c r="K353" s="2"/>
    </row>
    <row r="354" spans="1:14" x14ac:dyDescent="0.3">
      <c r="A354" s="2" t="s">
        <v>496</v>
      </c>
      <c r="B354" s="2" t="s">
        <v>171</v>
      </c>
      <c r="C354" s="2" t="s">
        <v>198</v>
      </c>
      <c r="D354" s="2" t="s">
        <v>497</v>
      </c>
      <c r="E354" s="12">
        <v>45639</v>
      </c>
      <c r="F354" s="2">
        <v>30</v>
      </c>
      <c r="G354" s="12">
        <v>45669</v>
      </c>
      <c r="H354" s="2" t="s">
        <v>233</v>
      </c>
      <c r="I354" s="2">
        <v>118789.06</v>
      </c>
      <c r="J354" s="2"/>
      <c r="K354" s="2"/>
    </row>
    <row r="355" spans="1:14" x14ac:dyDescent="0.3">
      <c r="A355" s="2" t="s">
        <v>498</v>
      </c>
      <c r="B355" s="2" t="s">
        <v>145</v>
      </c>
      <c r="C355" s="2" t="s">
        <v>204</v>
      </c>
      <c r="D355" s="2" t="s">
        <v>499</v>
      </c>
      <c r="E355" s="12">
        <v>45481</v>
      </c>
      <c r="F355" s="2">
        <v>37</v>
      </c>
      <c r="G355" s="12">
        <v>45518</v>
      </c>
      <c r="H355" s="2" t="s">
        <v>236</v>
      </c>
      <c r="I355" s="2">
        <v>69035.08</v>
      </c>
      <c r="J355" s="2"/>
      <c r="K355" s="2"/>
      <c r="L355" s="2"/>
      <c r="M355" s="12"/>
      <c r="N355" s="2"/>
    </row>
    <row r="356" spans="1:14" x14ac:dyDescent="0.3">
      <c r="A356" s="2" t="s">
        <v>500</v>
      </c>
      <c r="B356" s="2" t="s">
        <v>104</v>
      </c>
      <c r="C356" s="2" t="s">
        <v>207</v>
      </c>
      <c r="D356" s="2" t="s">
        <v>501</v>
      </c>
      <c r="E356" s="12">
        <v>45796</v>
      </c>
      <c r="F356" s="2">
        <v>142</v>
      </c>
      <c r="G356" s="12">
        <v>45938</v>
      </c>
      <c r="H356" s="2" t="s">
        <v>236</v>
      </c>
      <c r="I356" s="2">
        <v>129757.71</v>
      </c>
      <c r="J356" s="2"/>
      <c r="K356" s="2"/>
      <c r="L356" s="2"/>
      <c r="M356" s="12"/>
      <c r="N356" s="2"/>
    </row>
    <row r="357" spans="1:14" x14ac:dyDescent="0.3">
      <c r="A357" s="2" t="s">
        <v>502</v>
      </c>
      <c r="B357" s="2" t="s">
        <v>58</v>
      </c>
      <c r="C357" s="2" t="s">
        <v>210</v>
      </c>
      <c r="D357" s="2" t="s">
        <v>503</v>
      </c>
      <c r="E357" s="12">
        <v>45482</v>
      </c>
      <c r="F357" s="2">
        <v>128</v>
      </c>
      <c r="G357" s="12">
        <v>45610</v>
      </c>
      <c r="H357" s="2" t="s">
        <v>285</v>
      </c>
      <c r="I357" s="2">
        <v>149353.07</v>
      </c>
      <c r="J357" s="2"/>
      <c r="K357" s="2"/>
    </row>
    <row r="358" spans="1:14" x14ac:dyDescent="0.3">
      <c r="A358" s="2" t="s">
        <v>504</v>
      </c>
      <c r="B358" s="2" t="s">
        <v>145</v>
      </c>
      <c r="C358" s="2" t="s">
        <v>210</v>
      </c>
      <c r="D358" s="2" t="s">
        <v>505</v>
      </c>
      <c r="E358" s="12">
        <v>45799</v>
      </c>
      <c r="F358" s="2">
        <v>76</v>
      </c>
      <c r="G358" s="12">
        <v>45875</v>
      </c>
      <c r="H358" s="2" t="s">
        <v>230</v>
      </c>
      <c r="I358" s="2">
        <v>105992.69</v>
      </c>
      <c r="J358" s="2"/>
      <c r="K358" s="2"/>
      <c r="L358" s="2"/>
      <c r="M358" s="12"/>
    </row>
    <row r="359" spans="1:14" x14ac:dyDescent="0.3">
      <c r="A359" s="2" t="s">
        <v>506</v>
      </c>
      <c r="B359" s="2" t="s">
        <v>55</v>
      </c>
      <c r="C359" s="2" t="s">
        <v>196</v>
      </c>
      <c r="D359" s="2" t="s">
        <v>507</v>
      </c>
      <c r="E359" s="12">
        <v>45660</v>
      </c>
      <c r="F359" s="2">
        <v>156</v>
      </c>
      <c r="G359" s="12">
        <v>45816</v>
      </c>
      <c r="H359" s="2" t="s">
        <v>236</v>
      </c>
      <c r="I359" s="2">
        <v>132080.93</v>
      </c>
      <c r="J359" s="2"/>
      <c r="K359" s="2"/>
      <c r="L359" s="2"/>
      <c r="M359" s="12"/>
      <c r="N359" s="2"/>
    </row>
    <row r="360" spans="1:14" x14ac:dyDescent="0.3">
      <c r="A360" s="2" t="s">
        <v>508</v>
      </c>
      <c r="B360" s="2" t="s">
        <v>47</v>
      </c>
      <c r="C360" s="2" t="s">
        <v>201</v>
      </c>
      <c r="D360" s="2" t="s">
        <v>509</v>
      </c>
      <c r="E360" s="12">
        <v>45700</v>
      </c>
      <c r="F360" s="2">
        <v>85</v>
      </c>
      <c r="G360" s="12">
        <v>45785</v>
      </c>
      <c r="H360" s="2" t="s">
        <v>236</v>
      </c>
      <c r="I360" s="2">
        <v>159918.53</v>
      </c>
      <c r="J360" s="2"/>
      <c r="K360" s="2"/>
      <c r="L360" s="2"/>
      <c r="M360" s="12"/>
      <c r="N360" s="2"/>
    </row>
    <row r="361" spans="1:14" x14ac:dyDescent="0.3">
      <c r="A361" s="2" t="s">
        <v>510</v>
      </c>
      <c r="B361" s="2" t="s">
        <v>88</v>
      </c>
      <c r="C361" s="2" t="s">
        <v>196</v>
      </c>
      <c r="D361" s="2" t="s">
        <v>511</v>
      </c>
      <c r="E361" s="12">
        <v>46115</v>
      </c>
      <c r="F361" s="2">
        <v>43</v>
      </c>
      <c r="G361" s="12">
        <v>46158</v>
      </c>
      <c r="H361" s="2" t="s">
        <v>285</v>
      </c>
      <c r="I361" s="2">
        <v>81660.789999999994</v>
      </c>
      <c r="J361" s="2"/>
      <c r="K361" s="2"/>
    </row>
    <row r="362" spans="1:14" x14ac:dyDescent="0.3">
      <c r="A362" s="2" t="s">
        <v>512</v>
      </c>
      <c r="B362" s="2" t="s">
        <v>72</v>
      </c>
      <c r="C362" s="2" t="s">
        <v>207</v>
      </c>
      <c r="D362" s="2" t="s">
        <v>513</v>
      </c>
      <c r="E362" s="12">
        <v>45408</v>
      </c>
      <c r="F362" s="2">
        <v>57</v>
      </c>
      <c r="G362" s="12">
        <v>45465</v>
      </c>
      <c r="H362" s="2" t="s">
        <v>233</v>
      </c>
      <c r="I362" s="2">
        <v>130975.16</v>
      </c>
      <c r="J362" s="2"/>
      <c r="K362" s="2"/>
    </row>
    <row r="363" spans="1:14" x14ac:dyDescent="0.3">
      <c r="A363" s="2" t="s">
        <v>514</v>
      </c>
      <c r="B363" s="2" t="s">
        <v>147</v>
      </c>
      <c r="C363" s="2" t="s">
        <v>204</v>
      </c>
      <c r="D363" s="2" t="s">
        <v>515</v>
      </c>
      <c r="E363" s="12">
        <v>45425</v>
      </c>
      <c r="F363" s="2">
        <v>107</v>
      </c>
      <c r="G363" s="12">
        <v>45532</v>
      </c>
      <c r="H363" s="2" t="s">
        <v>236</v>
      </c>
      <c r="I363" s="2">
        <v>30097.95</v>
      </c>
      <c r="J363" s="2"/>
      <c r="K363" s="2"/>
      <c r="L363" s="2"/>
      <c r="M363" s="12"/>
      <c r="N363" s="2"/>
    </row>
    <row r="364" spans="1:14" x14ac:dyDescent="0.3">
      <c r="A364" s="2" t="s">
        <v>516</v>
      </c>
      <c r="B364" s="2" t="s">
        <v>116</v>
      </c>
      <c r="C364" s="2" t="s">
        <v>204</v>
      </c>
      <c r="D364" s="2" t="s">
        <v>517</v>
      </c>
      <c r="E364" s="12">
        <v>45349</v>
      </c>
      <c r="F364" s="2">
        <v>159</v>
      </c>
      <c r="G364" s="12">
        <v>45508</v>
      </c>
      <c r="H364" s="2" t="s">
        <v>285</v>
      </c>
      <c r="I364" s="2">
        <v>54690.76</v>
      </c>
      <c r="J364" s="2"/>
      <c r="K364" s="2"/>
    </row>
    <row r="365" spans="1:14" x14ac:dyDescent="0.3">
      <c r="A365" s="2" t="s">
        <v>518</v>
      </c>
      <c r="B365" s="2" t="s">
        <v>16</v>
      </c>
      <c r="C365" s="2" t="s">
        <v>201</v>
      </c>
      <c r="D365" s="2" t="s">
        <v>519</v>
      </c>
      <c r="E365" s="12">
        <v>45847</v>
      </c>
      <c r="F365" s="2">
        <v>138</v>
      </c>
      <c r="G365" s="12">
        <v>45985</v>
      </c>
      <c r="H365" s="2" t="s">
        <v>236</v>
      </c>
      <c r="I365" s="2">
        <v>178774.82</v>
      </c>
      <c r="J365" s="2"/>
      <c r="K365" s="2"/>
      <c r="L365" s="2"/>
      <c r="M365" s="12"/>
      <c r="N365" s="2"/>
    </row>
    <row r="366" spans="1:14" x14ac:dyDescent="0.3">
      <c r="A366" s="2" t="s">
        <v>520</v>
      </c>
      <c r="B366" s="2" t="s">
        <v>100</v>
      </c>
      <c r="C366" s="2" t="s">
        <v>210</v>
      </c>
      <c r="D366" s="2" t="s">
        <v>521</v>
      </c>
      <c r="E366" s="12">
        <v>45976</v>
      </c>
      <c r="F366" s="2">
        <v>43</v>
      </c>
      <c r="G366" s="12">
        <v>46019</v>
      </c>
      <c r="H366" s="2" t="s">
        <v>233</v>
      </c>
      <c r="I366" s="2">
        <v>144396.46</v>
      </c>
      <c r="J366" s="2"/>
      <c r="K366" s="2"/>
    </row>
    <row r="367" spans="1:14" x14ac:dyDescent="0.3">
      <c r="A367" s="2" t="s">
        <v>522</v>
      </c>
      <c r="B367" s="2" t="s">
        <v>112</v>
      </c>
      <c r="C367" s="2" t="s">
        <v>196</v>
      </c>
      <c r="D367" s="2" t="s">
        <v>523</v>
      </c>
      <c r="E367" s="12">
        <v>45963</v>
      </c>
      <c r="F367" s="2">
        <v>85</v>
      </c>
      <c r="G367" s="12">
        <v>46048</v>
      </c>
      <c r="H367" s="2" t="s">
        <v>236</v>
      </c>
      <c r="I367" s="2">
        <v>88587.77</v>
      </c>
      <c r="J367" s="2"/>
      <c r="K367" s="2"/>
      <c r="L367" s="2"/>
      <c r="M367" s="12"/>
      <c r="N367" s="2"/>
    </row>
    <row r="368" spans="1:14" x14ac:dyDescent="0.3">
      <c r="A368" s="2" t="s">
        <v>524</v>
      </c>
      <c r="B368" s="2" t="s">
        <v>106</v>
      </c>
      <c r="C368" s="2" t="s">
        <v>213</v>
      </c>
      <c r="D368" s="2" t="s">
        <v>525</v>
      </c>
      <c r="E368" s="12">
        <v>45464</v>
      </c>
      <c r="F368" s="2">
        <v>144</v>
      </c>
      <c r="G368" s="12">
        <v>45608</v>
      </c>
      <c r="H368" s="2" t="s">
        <v>236</v>
      </c>
      <c r="I368" s="2">
        <v>106267.58</v>
      </c>
      <c r="J368" s="2"/>
      <c r="K368" s="2"/>
      <c r="L368" s="2"/>
      <c r="M368" s="12"/>
      <c r="N368" s="2"/>
    </row>
    <row r="369" spans="1:14" x14ac:dyDescent="0.3">
      <c r="A369" s="2" t="s">
        <v>526</v>
      </c>
      <c r="B369" s="2" t="s">
        <v>137</v>
      </c>
      <c r="C369" s="2" t="s">
        <v>204</v>
      </c>
      <c r="D369" s="2" t="s">
        <v>527</v>
      </c>
      <c r="E369" s="12">
        <v>46120</v>
      </c>
      <c r="F369" s="2">
        <v>36</v>
      </c>
      <c r="G369" s="12">
        <v>46156</v>
      </c>
      <c r="H369" s="2" t="s">
        <v>236</v>
      </c>
      <c r="I369" s="2">
        <v>73189.25</v>
      </c>
      <c r="J369" s="2"/>
      <c r="K369" s="2"/>
      <c r="L369" s="2"/>
      <c r="M369" s="12"/>
      <c r="N369" s="2"/>
    </row>
    <row r="370" spans="1:14" x14ac:dyDescent="0.3">
      <c r="A370" s="2" t="s">
        <v>528</v>
      </c>
      <c r="B370" s="2" t="s">
        <v>104</v>
      </c>
      <c r="C370" s="2" t="s">
        <v>207</v>
      </c>
      <c r="D370" s="2" t="s">
        <v>529</v>
      </c>
      <c r="E370" s="12">
        <v>46106</v>
      </c>
      <c r="F370" s="2">
        <v>32</v>
      </c>
      <c r="G370" s="12">
        <v>46138</v>
      </c>
      <c r="H370" s="2" t="s">
        <v>233</v>
      </c>
      <c r="I370" s="2">
        <v>147084.69</v>
      </c>
      <c r="J370" s="2"/>
      <c r="K370" s="2"/>
    </row>
    <row r="371" spans="1:14" x14ac:dyDescent="0.3">
      <c r="A371" s="2" t="s">
        <v>530</v>
      </c>
      <c r="B371" s="2" t="s">
        <v>50</v>
      </c>
      <c r="C371" s="2" t="s">
        <v>198</v>
      </c>
      <c r="D371" s="2" t="s">
        <v>531</v>
      </c>
      <c r="E371" s="12">
        <v>45440</v>
      </c>
      <c r="F371" s="2">
        <v>140</v>
      </c>
      <c r="G371" s="12">
        <v>45580</v>
      </c>
      <c r="H371" s="2" t="s">
        <v>236</v>
      </c>
      <c r="I371" s="2">
        <v>168377.57</v>
      </c>
      <c r="J371" s="2"/>
      <c r="K371" s="2"/>
      <c r="L371" s="2"/>
      <c r="M371" s="12"/>
      <c r="N371" s="2"/>
    </row>
    <row r="372" spans="1:14" x14ac:dyDescent="0.3">
      <c r="A372" s="2" t="s">
        <v>532</v>
      </c>
      <c r="B372" s="2" t="s">
        <v>21</v>
      </c>
      <c r="C372" s="2" t="s">
        <v>193</v>
      </c>
      <c r="D372" s="2" t="s">
        <v>533</v>
      </c>
      <c r="E372" s="12">
        <v>45371</v>
      </c>
      <c r="F372" s="2">
        <v>180</v>
      </c>
      <c r="G372" s="12">
        <v>45551</v>
      </c>
      <c r="H372" s="2" t="s">
        <v>236</v>
      </c>
      <c r="I372" s="2">
        <v>90633.68</v>
      </c>
      <c r="J372" s="2"/>
      <c r="K372" s="2"/>
      <c r="L372" s="2"/>
      <c r="M372" s="12"/>
      <c r="N372" s="2"/>
    </row>
    <row r="373" spans="1:14" x14ac:dyDescent="0.3">
      <c r="A373" s="2" t="s">
        <v>534</v>
      </c>
      <c r="B373" s="2" t="s">
        <v>74</v>
      </c>
      <c r="C373" s="2" t="s">
        <v>193</v>
      </c>
      <c r="D373" s="2" t="s">
        <v>535</v>
      </c>
      <c r="E373" s="12">
        <v>46177</v>
      </c>
      <c r="F373" s="2">
        <v>136</v>
      </c>
      <c r="G373" s="12">
        <v>46313</v>
      </c>
      <c r="H373" s="2" t="s">
        <v>236</v>
      </c>
      <c r="I373" s="2">
        <v>75082.33</v>
      </c>
      <c r="J373" s="2"/>
      <c r="K373" s="2"/>
      <c r="L373" s="2"/>
      <c r="M373" s="12"/>
      <c r="N373" s="2"/>
    </row>
    <row r="374" spans="1:14" x14ac:dyDescent="0.3">
      <c r="A374" s="2" t="s">
        <v>536</v>
      </c>
      <c r="B374" s="2" t="s">
        <v>44</v>
      </c>
      <c r="C374" s="2" t="s">
        <v>193</v>
      </c>
      <c r="D374" s="2" t="s">
        <v>537</v>
      </c>
      <c r="E374" s="12">
        <v>45504</v>
      </c>
      <c r="F374" s="2">
        <v>47</v>
      </c>
      <c r="G374" s="12">
        <v>45551</v>
      </c>
      <c r="H374" s="2" t="s">
        <v>236</v>
      </c>
      <c r="I374" s="2">
        <v>82766.63</v>
      </c>
      <c r="J374" s="2"/>
      <c r="K374" s="2"/>
      <c r="L374" s="2"/>
      <c r="M374" s="12"/>
      <c r="N374" s="2"/>
    </row>
    <row r="375" spans="1:14" x14ac:dyDescent="0.3">
      <c r="A375" s="2" t="s">
        <v>538</v>
      </c>
      <c r="B375" s="2" t="s">
        <v>92</v>
      </c>
      <c r="C375" s="2" t="s">
        <v>213</v>
      </c>
      <c r="D375" s="2" t="s">
        <v>539</v>
      </c>
      <c r="E375" s="12">
        <v>45494</v>
      </c>
      <c r="F375" s="2">
        <v>67</v>
      </c>
      <c r="G375" s="12">
        <v>45561</v>
      </c>
      <c r="H375" s="2" t="s">
        <v>230</v>
      </c>
      <c r="I375" s="2">
        <v>104062.97</v>
      </c>
      <c r="J375" s="2"/>
      <c r="K375" s="2"/>
      <c r="L375" s="2"/>
      <c r="M375" s="12"/>
    </row>
    <row r="376" spans="1:14" x14ac:dyDescent="0.3">
      <c r="A376" s="2" t="s">
        <v>540</v>
      </c>
      <c r="B376" s="2" t="s">
        <v>53</v>
      </c>
      <c r="C376" s="2" t="s">
        <v>210</v>
      </c>
      <c r="D376" s="2" t="s">
        <v>541</v>
      </c>
      <c r="E376" s="12">
        <v>46055</v>
      </c>
      <c r="F376" s="2">
        <v>144</v>
      </c>
      <c r="G376" s="12">
        <v>46199</v>
      </c>
      <c r="H376" s="2" t="s">
        <v>236</v>
      </c>
      <c r="I376" s="2">
        <v>202254.57</v>
      </c>
      <c r="J376" s="2"/>
      <c r="K376" s="2"/>
      <c r="L376" s="2"/>
      <c r="M376" s="12"/>
      <c r="N376" s="2"/>
    </row>
    <row r="377" spans="1:14" x14ac:dyDescent="0.3">
      <c r="A377" s="2" t="s">
        <v>542</v>
      </c>
      <c r="B377" s="2" t="s">
        <v>110</v>
      </c>
      <c r="C377" s="2" t="s">
        <v>196</v>
      </c>
      <c r="D377" s="2" t="s">
        <v>543</v>
      </c>
      <c r="E377" s="12">
        <v>45520</v>
      </c>
      <c r="F377" s="2">
        <v>44</v>
      </c>
      <c r="G377" s="12">
        <v>45564</v>
      </c>
      <c r="H377" s="2" t="s">
        <v>233</v>
      </c>
      <c r="I377" s="2">
        <v>94103.16</v>
      </c>
      <c r="J377" s="2"/>
      <c r="K377" s="2"/>
    </row>
    <row r="378" spans="1:14" x14ac:dyDescent="0.3">
      <c r="A378" s="2" t="s">
        <v>544</v>
      </c>
      <c r="B378" s="2" t="s">
        <v>159</v>
      </c>
      <c r="C378" s="2" t="s">
        <v>201</v>
      </c>
      <c r="D378" s="2" t="s">
        <v>545</v>
      </c>
      <c r="E378" s="12">
        <v>45967</v>
      </c>
      <c r="F378" s="2">
        <v>148</v>
      </c>
      <c r="G378" s="12">
        <v>46115</v>
      </c>
      <c r="H378" s="2" t="s">
        <v>285</v>
      </c>
      <c r="I378" s="2">
        <v>149044.18</v>
      </c>
      <c r="J378" s="2"/>
      <c r="K378" s="2"/>
    </row>
    <row r="379" spans="1:14" x14ac:dyDescent="0.3">
      <c r="A379" s="2" t="s">
        <v>546</v>
      </c>
      <c r="B379" s="2" t="s">
        <v>137</v>
      </c>
      <c r="C379" s="2" t="s">
        <v>213</v>
      </c>
      <c r="D379" s="2" t="s">
        <v>547</v>
      </c>
      <c r="E379" s="12">
        <v>45518</v>
      </c>
      <c r="F379" s="2">
        <v>57</v>
      </c>
      <c r="G379" s="12">
        <v>45575</v>
      </c>
      <c r="H379" s="2" t="s">
        <v>233</v>
      </c>
      <c r="I379" s="2">
        <v>119351.03999999999</v>
      </c>
      <c r="J379" s="2"/>
      <c r="K379" s="2"/>
    </row>
    <row r="380" spans="1:14" x14ac:dyDescent="0.3">
      <c r="A380" s="2" t="s">
        <v>548</v>
      </c>
      <c r="B380" s="2" t="s">
        <v>110</v>
      </c>
      <c r="C380" s="2" t="s">
        <v>213</v>
      </c>
      <c r="D380" s="2" t="s">
        <v>549</v>
      </c>
      <c r="E380" s="12">
        <v>45950</v>
      </c>
      <c r="F380" s="2">
        <v>68</v>
      </c>
      <c r="G380" s="12">
        <v>46018</v>
      </c>
      <c r="H380" s="2" t="s">
        <v>236</v>
      </c>
      <c r="I380" s="2">
        <v>113356.88</v>
      </c>
      <c r="J380" s="2"/>
      <c r="K380" s="2"/>
      <c r="L380" s="2"/>
      <c r="M380" s="12"/>
      <c r="N380" s="2"/>
    </row>
    <row r="381" spans="1:14" x14ac:dyDescent="0.3">
      <c r="A381" s="2" t="s">
        <v>550</v>
      </c>
      <c r="B381" s="2" t="s">
        <v>94</v>
      </c>
      <c r="C381" s="2" t="s">
        <v>204</v>
      </c>
      <c r="D381" s="2" t="s">
        <v>551</v>
      </c>
      <c r="E381" s="12">
        <v>45823</v>
      </c>
      <c r="F381" s="2">
        <v>46</v>
      </c>
      <c r="G381" s="12">
        <v>45869</v>
      </c>
      <c r="H381" s="2" t="s">
        <v>236</v>
      </c>
      <c r="I381" s="2">
        <v>90191.85</v>
      </c>
      <c r="J381" s="2"/>
      <c r="K381" s="2"/>
      <c r="L381" s="2"/>
      <c r="M381" s="12"/>
      <c r="N381" s="2"/>
    </row>
    <row r="382" spans="1:14" x14ac:dyDescent="0.3">
      <c r="A382" s="2" t="s">
        <v>552</v>
      </c>
      <c r="B382" s="2" t="s">
        <v>86</v>
      </c>
      <c r="C382" s="2" t="s">
        <v>198</v>
      </c>
      <c r="D382" s="2" t="s">
        <v>553</v>
      </c>
      <c r="E382" s="12">
        <v>45732</v>
      </c>
      <c r="F382" s="2">
        <v>115</v>
      </c>
      <c r="G382" s="12">
        <v>45847</v>
      </c>
      <c r="H382" s="2" t="s">
        <v>236</v>
      </c>
      <c r="I382" s="2">
        <v>122032.57</v>
      </c>
      <c r="J382" s="2"/>
      <c r="K382" s="2"/>
      <c r="L382" s="2"/>
      <c r="M382" s="12"/>
      <c r="N382" s="2"/>
    </row>
    <row r="383" spans="1:14" x14ac:dyDescent="0.3">
      <c r="A383" s="2" t="s">
        <v>554</v>
      </c>
      <c r="B383" s="2" t="s">
        <v>44</v>
      </c>
      <c r="C383" s="2" t="s">
        <v>213</v>
      </c>
      <c r="D383" s="2" t="s">
        <v>555</v>
      </c>
      <c r="E383" s="12">
        <v>45693</v>
      </c>
      <c r="F383" s="2">
        <v>155</v>
      </c>
      <c r="G383" s="12">
        <v>45848</v>
      </c>
      <c r="H383" s="2" t="s">
        <v>236</v>
      </c>
      <c r="I383" s="2">
        <v>100849.02</v>
      </c>
      <c r="J383" s="2"/>
      <c r="K383" s="2"/>
      <c r="L383" s="2"/>
      <c r="M383" s="12"/>
      <c r="N383" s="2"/>
    </row>
    <row r="384" spans="1:14" x14ac:dyDescent="0.3">
      <c r="A384" s="2" t="s">
        <v>556</v>
      </c>
      <c r="B384" s="2" t="s">
        <v>44</v>
      </c>
      <c r="C384" s="2" t="s">
        <v>207</v>
      </c>
      <c r="D384" s="2" t="s">
        <v>557</v>
      </c>
      <c r="E384" s="12">
        <v>45338</v>
      </c>
      <c r="F384" s="2">
        <v>73</v>
      </c>
      <c r="G384" s="12">
        <v>45411</v>
      </c>
      <c r="H384" s="2" t="s">
        <v>236</v>
      </c>
      <c r="I384" s="2">
        <v>174611.44</v>
      </c>
      <c r="J384" s="2"/>
      <c r="K384" s="2"/>
      <c r="L384" s="2"/>
      <c r="M384" s="12"/>
      <c r="N384" s="2"/>
    </row>
    <row r="385" spans="1:14" x14ac:dyDescent="0.3">
      <c r="A385" s="2" t="s">
        <v>558</v>
      </c>
      <c r="B385" s="2" t="s">
        <v>58</v>
      </c>
      <c r="C385" s="2" t="s">
        <v>198</v>
      </c>
      <c r="D385" s="2" t="s">
        <v>559</v>
      </c>
      <c r="E385" s="12">
        <v>45524</v>
      </c>
      <c r="F385" s="2">
        <v>54</v>
      </c>
      <c r="G385" s="12">
        <v>45578</v>
      </c>
      <c r="H385" s="2" t="s">
        <v>233</v>
      </c>
      <c r="I385" s="2">
        <v>158277.62</v>
      </c>
      <c r="J385" s="2"/>
      <c r="K385" s="2"/>
    </row>
    <row r="386" spans="1:14" x14ac:dyDescent="0.3">
      <c r="A386" s="2" t="s">
        <v>560</v>
      </c>
      <c r="B386" s="2" t="s">
        <v>90</v>
      </c>
      <c r="C386" s="2" t="s">
        <v>207</v>
      </c>
      <c r="D386" s="2" t="s">
        <v>561</v>
      </c>
      <c r="E386" s="12">
        <v>45596</v>
      </c>
      <c r="F386" s="2">
        <v>174</v>
      </c>
      <c r="G386" s="12">
        <v>45770</v>
      </c>
      <c r="H386" s="2" t="s">
        <v>236</v>
      </c>
      <c r="I386" s="2">
        <v>115521.3</v>
      </c>
      <c r="J386" s="2"/>
      <c r="K386" s="2"/>
      <c r="L386" s="2"/>
      <c r="M386" s="12"/>
      <c r="N386" s="2"/>
    </row>
    <row r="387" spans="1:14" x14ac:dyDescent="0.3">
      <c r="A387" s="2" t="s">
        <v>562</v>
      </c>
      <c r="B387" s="2" t="s">
        <v>104</v>
      </c>
      <c r="C387" s="2" t="s">
        <v>210</v>
      </c>
      <c r="D387" s="2" t="s">
        <v>563</v>
      </c>
      <c r="E387" s="12">
        <v>45817</v>
      </c>
      <c r="F387" s="2">
        <v>42</v>
      </c>
      <c r="G387" s="12">
        <v>45859</v>
      </c>
      <c r="H387" s="2" t="s">
        <v>236</v>
      </c>
      <c r="I387" s="2">
        <v>90784.25</v>
      </c>
      <c r="J387" s="2"/>
      <c r="K387" s="2"/>
      <c r="L387" s="2"/>
      <c r="M387" s="12"/>
      <c r="N387" s="2"/>
    </row>
    <row r="388" spans="1:14" x14ac:dyDescent="0.3">
      <c r="A388" s="2" t="s">
        <v>564</v>
      </c>
      <c r="B388" s="2" t="s">
        <v>118</v>
      </c>
      <c r="C388" s="2" t="s">
        <v>196</v>
      </c>
      <c r="D388" s="2" t="s">
        <v>565</v>
      </c>
      <c r="E388" s="12">
        <v>45434</v>
      </c>
      <c r="F388" s="2">
        <v>54</v>
      </c>
      <c r="G388" s="12">
        <v>45488</v>
      </c>
      <c r="H388" s="2" t="s">
        <v>233</v>
      </c>
      <c r="I388" s="2">
        <v>117439.24</v>
      </c>
      <c r="J388" s="2"/>
      <c r="K388" s="2"/>
    </row>
    <row r="389" spans="1:14" x14ac:dyDescent="0.3">
      <c r="A389" s="2" t="s">
        <v>566</v>
      </c>
      <c r="B389" s="2" t="s">
        <v>83</v>
      </c>
      <c r="C389" s="2" t="s">
        <v>193</v>
      </c>
      <c r="D389" s="2" t="s">
        <v>567</v>
      </c>
      <c r="E389" s="12">
        <v>45706</v>
      </c>
      <c r="F389" s="2">
        <v>97</v>
      </c>
      <c r="G389" s="12">
        <v>45803</v>
      </c>
      <c r="H389" s="2" t="s">
        <v>236</v>
      </c>
      <c r="I389" s="2">
        <v>106151.6</v>
      </c>
      <c r="J389" s="2"/>
      <c r="K389" s="2"/>
      <c r="L389" s="2"/>
      <c r="M389" s="12"/>
      <c r="N389" s="2"/>
    </row>
    <row r="390" spans="1:14" x14ac:dyDescent="0.3">
      <c r="A390" s="2" t="s">
        <v>568</v>
      </c>
      <c r="B390" s="2" t="s">
        <v>151</v>
      </c>
      <c r="C390" s="2" t="s">
        <v>213</v>
      </c>
      <c r="D390" s="2" t="s">
        <v>569</v>
      </c>
      <c r="E390" s="12">
        <v>45804</v>
      </c>
      <c r="F390" s="2">
        <v>167</v>
      </c>
      <c r="G390" s="12">
        <v>45971</v>
      </c>
      <c r="H390" s="2" t="s">
        <v>285</v>
      </c>
      <c r="I390" s="2">
        <v>118426.38</v>
      </c>
      <c r="J390" s="2"/>
      <c r="K390" s="2"/>
    </row>
    <row r="391" spans="1:14" x14ac:dyDescent="0.3">
      <c r="A391" s="2" t="s">
        <v>570</v>
      </c>
      <c r="B391" s="2" t="s">
        <v>151</v>
      </c>
      <c r="C391" s="2" t="s">
        <v>196</v>
      </c>
      <c r="D391" s="2" t="s">
        <v>571</v>
      </c>
      <c r="E391" s="12">
        <v>45664</v>
      </c>
      <c r="F391" s="2">
        <v>96</v>
      </c>
      <c r="G391" s="12">
        <v>45760</v>
      </c>
      <c r="H391" s="2" t="s">
        <v>233</v>
      </c>
      <c r="I391" s="2">
        <v>90309.78</v>
      </c>
      <c r="J391" s="2"/>
      <c r="K391" s="2"/>
    </row>
    <row r="392" spans="1:14" x14ac:dyDescent="0.3">
      <c r="A392" s="2" t="s">
        <v>572</v>
      </c>
      <c r="B392" s="2" t="s">
        <v>141</v>
      </c>
      <c r="C392" s="2" t="s">
        <v>210</v>
      </c>
      <c r="D392" s="2" t="s">
        <v>573</v>
      </c>
      <c r="E392" s="12">
        <v>45857</v>
      </c>
      <c r="F392" s="2">
        <v>138</v>
      </c>
      <c r="G392" s="12">
        <v>45995</v>
      </c>
      <c r="H392" s="2" t="s">
        <v>236</v>
      </c>
      <c r="I392" s="2">
        <v>123434.18</v>
      </c>
      <c r="J392" s="2"/>
      <c r="K392" s="2"/>
      <c r="L392" s="2"/>
      <c r="M392" s="12"/>
      <c r="N392" s="2"/>
    </row>
    <row r="393" spans="1:14" x14ac:dyDescent="0.3">
      <c r="A393" s="2" t="s">
        <v>574</v>
      </c>
      <c r="B393" s="2" t="s">
        <v>53</v>
      </c>
      <c r="C393" s="2" t="s">
        <v>201</v>
      </c>
      <c r="D393" s="2" t="s">
        <v>575</v>
      </c>
      <c r="E393" s="12">
        <v>46177</v>
      </c>
      <c r="F393" s="2">
        <v>175</v>
      </c>
      <c r="G393" s="12">
        <v>46352</v>
      </c>
      <c r="H393" s="2" t="s">
        <v>233</v>
      </c>
      <c r="I393" s="2">
        <v>199914.86</v>
      </c>
      <c r="J393" s="2"/>
      <c r="K393" s="2"/>
    </row>
    <row r="394" spans="1:14" x14ac:dyDescent="0.3">
      <c r="A394" s="2" t="s">
        <v>576</v>
      </c>
      <c r="B394" s="2" t="s">
        <v>139</v>
      </c>
      <c r="C394" s="2" t="s">
        <v>201</v>
      </c>
      <c r="D394" s="2" t="s">
        <v>577</v>
      </c>
      <c r="E394" s="12">
        <v>45550</v>
      </c>
      <c r="F394" s="2">
        <v>140</v>
      </c>
      <c r="G394" s="12">
        <v>45690</v>
      </c>
      <c r="H394" s="2" t="s">
        <v>233</v>
      </c>
      <c r="I394" s="2">
        <v>195827.64</v>
      </c>
      <c r="J394" s="2"/>
      <c r="K394" s="2"/>
    </row>
    <row r="395" spans="1:14" x14ac:dyDescent="0.3">
      <c r="A395" s="2" t="s">
        <v>578</v>
      </c>
      <c r="B395" s="2" t="s">
        <v>38</v>
      </c>
      <c r="C395" s="2" t="s">
        <v>210</v>
      </c>
      <c r="D395" s="2" t="s">
        <v>579</v>
      </c>
      <c r="E395" s="12">
        <v>45947</v>
      </c>
      <c r="F395" s="2">
        <v>140</v>
      </c>
      <c r="G395" s="12">
        <v>46087</v>
      </c>
      <c r="H395" s="2" t="s">
        <v>233</v>
      </c>
      <c r="I395" s="2">
        <v>137072.24</v>
      </c>
      <c r="J395" s="2"/>
      <c r="K395" s="2"/>
    </row>
    <row r="396" spans="1:14" x14ac:dyDescent="0.3">
      <c r="A396" s="2" t="s">
        <v>580</v>
      </c>
      <c r="B396" s="2" t="s">
        <v>86</v>
      </c>
      <c r="C396" s="2" t="s">
        <v>207</v>
      </c>
      <c r="D396" s="2" t="s">
        <v>581</v>
      </c>
      <c r="E396" s="12">
        <v>45762</v>
      </c>
      <c r="F396" s="2">
        <v>63</v>
      </c>
      <c r="G396" s="12">
        <v>45825</v>
      </c>
      <c r="H396" s="2" t="s">
        <v>236</v>
      </c>
      <c r="I396" s="2">
        <v>160191.49</v>
      </c>
      <c r="J396" s="2"/>
      <c r="K396" s="2"/>
      <c r="L396" s="2"/>
      <c r="M396" s="12"/>
      <c r="N396" s="2"/>
    </row>
    <row r="397" spans="1:14" x14ac:dyDescent="0.3">
      <c r="A397" s="2" t="s">
        <v>582</v>
      </c>
      <c r="B397" s="2" t="s">
        <v>74</v>
      </c>
      <c r="C397" s="2" t="s">
        <v>204</v>
      </c>
      <c r="D397" s="2" t="s">
        <v>583</v>
      </c>
      <c r="E397" s="12">
        <v>45303</v>
      </c>
      <c r="F397" s="2">
        <v>140</v>
      </c>
      <c r="G397" s="12">
        <v>45443</v>
      </c>
      <c r="H397" s="2" t="s">
        <v>236</v>
      </c>
      <c r="I397" s="2">
        <v>96214.11</v>
      </c>
      <c r="J397" s="2"/>
      <c r="K397" s="2"/>
      <c r="L397" s="2"/>
      <c r="M397" s="12"/>
      <c r="N397" s="2"/>
    </row>
    <row r="398" spans="1:14" x14ac:dyDescent="0.3">
      <c r="A398" s="2" t="s">
        <v>584</v>
      </c>
      <c r="B398" s="2" t="s">
        <v>25</v>
      </c>
      <c r="C398" s="2" t="s">
        <v>204</v>
      </c>
      <c r="D398" s="2" t="s">
        <v>585</v>
      </c>
      <c r="E398" s="12">
        <v>45621</v>
      </c>
      <c r="F398" s="2">
        <v>37</v>
      </c>
      <c r="G398" s="12">
        <v>45658</v>
      </c>
      <c r="H398" s="2" t="s">
        <v>233</v>
      </c>
      <c r="I398" s="2">
        <v>89862.19</v>
      </c>
      <c r="J398" s="2"/>
      <c r="K398" s="2"/>
    </row>
    <row r="399" spans="1:14" x14ac:dyDescent="0.3">
      <c r="A399" s="2" t="s">
        <v>586</v>
      </c>
      <c r="B399" s="2" t="s">
        <v>157</v>
      </c>
      <c r="C399" s="2" t="s">
        <v>207</v>
      </c>
      <c r="D399" s="2" t="s">
        <v>587</v>
      </c>
      <c r="E399" s="12">
        <v>46027</v>
      </c>
      <c r="F399" s="2">
        <v>142</v>
      </c>
      <c r="G399" s="12">
        <v>46169</v>
      </c>
      <c r="H399" s="2" t="s">
        <v>236</v>
      </c>
      <c r="I399" s="2">
        <v>172214.98</v>
      </c>
      <c r="J399" s="2"/>
      <c r="K399" s="2"/>
      <c r="L399" s="2"/>
      <c r="M399" s="12"/>
      <c r="N399" s="2"/>
    </row>
    <row r="400" spans="1:14" x14ac:dyDescent="0.3">
      <c r="A400" s="2" t="s">
        <v>588</v>
      </c>
      <c r="B400" s="2" t="s">
        <v>125</v>
      </c>
      <c r="C400" s="2" t="s">
        <v>201</v>
      </c>
      <c r="D400" s="2" t="s">
        <v>589</v>
      </c>
      <c r="E400" s="12">
        <v>46075</v>
      </c>
      <c r="F400" s="2">
        <v>112</v>
      </c>
      <c r="G400" s="12">
        <v>46187</v>
      </c>
      <c r="H400" s="2" t="s">
        <v>236</v>
      </c>
      <c r="I400" s="2">
        <v>231004.11</v>
      </c>
      <c r="J400" s="2"/>
      <c r="K400" s="2"/>
      <c r="L400" s="2"/>
      <c r="M400" s="12"/>
      <c r="N400" s="2"/>
    </row>
    <row r="401" spans="1:14" x14ac:dyDescent="0.3">
      <c r="A401" s="2" t="s">
        <v>590</v>
      </c>
      <c r="B401" s="2" t="s">
        <v>16</v>
      </c>
      <c r="C401" s="2" t="s">
        <v>201</v>
      </c>
      <c r="D401" s="2" t="s">
        <v>591</v>
      </c>
      <c r="E401" s="12">
        <v>45649</v>
      </c>
      <c r="F401" s="2">
        <v>71</v>
      </c>
      <c r="G401" s="12">
        <v>45720</v>
      </c>
      <c r="H401" s="2" t="s">
        <v>236</v>
      </c>
      <c r="I401" s="2">
        <v>163256.65</v>
      </c>
      <c r="J401" s="2"/>
      <c r="K401" s="2"/>
      <c r="L401" s="2"/>
      <c r="M401" s="12"/>
      <c r="N401" s="2"/>
    </row>
    <row r="402" spans="1:14" x14ac:dyDescent="0.3">
      <c r="A402" s="2" t="s">
        <v>592</v>
      </c>
      <c r="B402" s="2" t="s">
        <v>116</v>
      </c>
      <c r="C402" s="2" t="s">
        <v>213</v>
      </c>
      <c r="D402" s="2" t="s">
        <v>593</v>
      </c>
      <c r="E402" s="12">
        <v>45699</v>
      </c>
      <c r="F402" s="2">
        <v>130</v>
      </c>
      <c r="G402" s="12">
        <v>45829</v>
      </c>
      <c r="H402" s="2" t="s">
        <v>233</v>
      </c>
      <c r="I402" s="2">
        <v>106115.63</v>
      </c>
      <c r="J402" s="2"/>
      <c r="K402" s="2"/>
    </row>
    <row r="403" spans="1:14" x14ac:dyDescent="0.3">
      <c r="A403" s="2" t="s">
        <v>594</v>
      </c>
      <c r="B403" s="2" t="s">
        <v>47</v>
      </c>
      <c r="C403" s="2" t="s">
        <v>201</v>
      </c>
      <c r="D403" s="2" t="s">
        <v>595</v>
      </c>
      <c r="E403" s="12">
        <v>45959</v>
      </c>
      <c r="F403" s="2">
        <v>35</v>
      </c>
      <c r="G403" s="12">
        <v>45994</v>
      </c>
      <c r="H403" s="2" t="s">
        <v>236</v>
      </c>
      <c r="I403" s="2">
        <v>237610.5</v>
      </c>
      <c r="J403" s="2"/>
      <c r="K403" s="2"/>
      <c r="L403" s="2"/>
      <c r="M403" s="12"/>
      <c r="N403" s="2"/>
    </row>
    <row r="404" spans="1:14" x14ac:dyDescent="0.3">
      <c r="A404" s="2" t="s">
        <v>596</v>
      </c>
      <c r="B404" s="2" t="s">
        <v>86</v>
      </c>
      <c r="C404" s="2" t="s">
        <v>196</v>
      </c>
      <c r="D404" s="2" t="s">
        <v>597</v>
      </c>
      <c r="E404" s="12">
        <v>45664</v>
      </c>
      <c r="F404" s="2">
        <v>55</v>
      </c>
      <c r="G404" s="12">
        <v>45719</v>
      </c>
      <c r="H404" s="2" t="s">
        <v>285</v>
      </c>
      <c r="I404" s="2">
        <v>107073.05</v>
      </c>
      <c r="J404" s="2"/>
      <c r="K404" s="2"/>
    </row>
    <row r="405" spans="1:14" x14ac:dyDescent="0.3">
      <c r="A405" s="2" t="s">
        <v>598</v>
      </c>
      <c r="B405" s="2" t="s">
        <v>163</v>
      </c>
      <c r="C405" s="2" t="s">
        <v>201</v>
      </c>
      <c r="D405" s="2" t="s">
        <v>599</v>
      </c>
      <c r="E405" s="12">
        <v>45299</v>
      </c>
      <c r="F405" s="2">
        <v>93</v>
      </c>
      <c r="G405" s="12">
        <v>45392</v>
      </c>
      <c r="H405" s="2" t="s">
        <v>233</v>
      </c>
      <c r="I405" s="2">
        <v>196613.48</v>
      </c>
      <c r="J405" s="2"/>
      <c r="K405" s="2"/>
    </row>
    <row r="406" spans="1:14" x14ac:dyDescent="0.3">
      <c r="A406" s="2" t="s">
        <v>600</v>
      </c>
      <c r="B406" s="2" t="s">
        <v>58</v>
      </c>
      <c r="C406" s="2" t="s">
        <v>198</v>
      </c>
      <c r="D406" s="2" t="s">
        <v>601</v>
      </c>
      <c r="E406" s="12">
        <v>45413</v>
      </c>
      <c r="F406" s="2">
        <v>88</v>
      </c>
      <c r="G406" s="12">
        <v>45501</v>
      </c>
      <c r="H406" s="2" t="s">
        <v>233</v>
      </c>
      <c r="I406" s="2">
        <v>193190.49</v>
      </c>
      <c r="J406" s="2"/>
      <c r="K406" s="2"/>
    </row>
    <row r="407" spans="1:14" x14ac:dyDescent="0.3">
      <c r="A407" s="2" t="s">
        <v>602</v>
      </c>
      <c r="B407" s="2" t="s">
        <v>151</v>
      </c>
      <c r="C407" s="2" t="s">
        <v>213</v>
      </c>
      <c r="D407" s="2" t="s">
        <v>603</v>
      </c>
      <c r="E407" s="12">
        <v>45639</v>
      </c>
      <c r="F407" s="2">
        <v>138</v>
      </c>
      <c r="G407" s="12">
        <v>45777</v>
      </c>
      <c r="H407" s="2" t="s">
        <v>230</v>
      </c>
      <c r="I407" s="2">
        <v>91208</v>
      </c>
      <c r="J407" s="2"/>
      <c r="K407" s="2"/>
      <c r="L407" s="2"/>
      <c r="M407" s="12"/>
    </row>
    <row r="408" spans="1:14" x14ac:dyDescent="0.3">
      <c r="A408" s="2" t="s">
        <v>604</v>
      </c>
      <c r="B408" s="2" t="s">
        <v>100</v>
      </c>
      <c r="C408" s="2" t="s">
        <v>193</v>
      </c>
      <c r="D408" s="2" t="s">
        <v>605</v>
      </c>
      <c r="E408" s="12">
        <v>45967</v>
      </c>
      <c r="F408" s="2">
        <v>150</v>
      </c>
      <c r="G408" s="12">
        <v>46117</v>
      </c>
      <c r="H408" s="2" t="s">
        <v>285</v>
      </c>
      <c r="I408" s="2">
        <v>113097.66</v>
      </c>
      <c r="J408" s="2"/>
      <c r="K408" s="2"/>
    </row>
    <row r="409" spans="1:14" x14ac:dyDescent="0.3">
      <c r="A409" s="2" t="s">
        <v>606</v>
      </c>
      <c r="B409" s="2" t="s">
        <v>74</v>
      </c>
      <c r="C409" s="2" t="s">
        <v>201</v>
      </c>
      <c r="D409" s="2" t="s">
        <v>607</v>
      </c>
      <c r="E409" s="12">
        <v>45381</v>
      </c>
      <c r="F409" s="2">
        <v>62</v>
      </c>
      <c r="G409" s="12">
        <v>45443</v>
      </c>
      <c r="H409" s="2" t="s">
        <v>285</v>
      </c>
      <c r="I409" s="2">
        <v>157309.29</v>
      </c>
      <c r="J409" s="2"/>
      <c r="K409" s="2"/>
    </row>
    <row r="410" spans="1:14" x14ac:dyDescent="0.3">
      <c r="A410" s="2" t="s">
        <v>608</v>
      </c>
      <c r="B410" s="2" t="s">
        <v>123</v>
      </c>
      <c r="C410" s="2" t="s">
        <v>207</v>
      </c>
      <c r="D410" s="2" t="s">
        <v>609</v>
      </c>
      <c r="E410" s="12">
        <v>45939</v>
      </c>
      <c r="F410" s="2">
        <v>179</v>
      </c>
      <c r="G410" s="12">
        <v>46118</v>
      </c>
      <c r="H410" s="2" t="s">
        <v>236</v>
      </c>
      <c r="I410" s="2">
        <v>154172.82</v>
      </c>
      <c r="J410" s="2"/>
      <c r="K410" s="2"/>
      <c r="L410" s="2"/>
      <c r="M410" s="12"/>
      <c r="N410" s="2"/>
    </row>
    <row r="411" spans="1:14" x14ac:dyDescent="0.3">
      <c r="A411" s="2" t="s">
        <v>610</v>
      </c>
      <c r="B411" s="2" t="s">
        <v>157</v>
      </c>
      <c r="C411" s="2" t="s">
        <v>193</v>
      </c>
      <c r="D411" s="2" t="s">
        <v>611</v>
      </c>
      <c r="E411" s="12">
        <v>45989</v>
      </c>
      <c r="F411" s="2">
        <v>50</v>
      </c>
      <c r="G411" s="12">
        <v>46039</v>
      </c>
      <c r="H411" s="2" t="s">
        <v>233</v>
      </c>
      <c r="I411" s="2">
        <v>76378.84</v>
      </c>
      <c r="J411" s="2"/>
      <c r="K411" s="2"/>
    </row>
    <row r="412" spans="1:14" x14ac:dyDescent="0.3">
      <c r="A412" s="2" t="s">
        <v>612</v>
      </c>
      <c r="B412" s="2" t="s">
        <v>133</v>
      </c>
      <c r="C412" s="2" t="s">
        <v>196</v>
      </c>
      <c r="D412" s="2" t="s">
        <v>613</v>
      </c>
      <c r="E412" s="12">
        <v>45607</v>
      </c>
      <c r="F412" s="2">
        <v>99</v>
      </c>
      <c r="G412" s="12">
        <v>45706</v>
      </c>
      <c r="H412" s="2" t="s">
        <v>236</v>
      </c>
      <c r="I412" s="2">
        <v>128836.34</v>
      </c>
      <c r="J412" s="2"/>
      <c r="K412" s="2"/>
      <c r="L412" s="2"/>
      <c r="M412" s="12"/>
      <c r="N412" s="2"/>
    </row>
    <row r="413" spans="1:14" x14ac:dyDescent="0.3">
      <c r="A413" s="2" t="s">
        <v>614</v>
      </c>
      <c r="B413" s="2" t="s">
        <v>185</v>
      </c>
      <c r="C413" s="2" t="s">
        <v>207</v>
      </c>
      <c r="D413" s="2" t="s">
        <v>615</v>
      </c>
      <c r="E413" s="12">
        <v>45469</v>
      </c>
      <c r="F413" s="2">
        <v>141</v>
      </c>
      <c r="G413" s="12">
        <v>45610</v>
      </c>
      <c r="H413" s="2" t="s">
        <v>236</v>
      </c>
      <c r="I413" s="2">
        <v>131810.87</v>
      </c>
      <c r="J413" s="2"/>
      <c r="K413" s="2"/>
      <c r="L413" s="2"/>
      <c r="M413" s="12"/>
      <c r="N413" s="2"/>
    </row>
    <row r="414" spans="1:14" x14ac:dyDescent="0.3">
      <c r="A414" s="2" t="s">
        <v>616</v>
      </c>
      <c r="B414" s="2" t="s">
        <v>173</v>
      </c>
      <c r="C414" s="2" t="s">
        <v>193</v>
      </c>
      <c r="D414" s="2" t="s">
        <v>617</v>
      </c>
      <c r="E414" s="12">
        <v>45831</v>
      </c>
      <c r="F414" s="2">
        <v>33</v>
      </c>
      <c r="G414" s="12">
        <v>45864</v>
      </c>
      <c r="H414" s="2" t="s">
        <v>236</v>
      </c>
      <c r="I414" s="2">
        <v>91750.46</v>
      </c>
      <c r="J414" s="2"/>
      <c r="K414" s="2"/>
      <c r="L414" s="2"/>
      <c r="M414" s="12"/>
      <c r="N414" s="2"/>
    </row>
    <row r="415" spans="1:14" x14ac:dyDescent="0.3">
      <c r="A415" s="2" t="s">
        <v>618</v>
      </c>
      <c r="B415" s="2" t="s">
        <v>50</v>
      </c>
      <c r="C415" s="2" t="s">
        <v>207</v>
      </c>
      <c r="D415" s="2" t="s">
        <v>619</v>
      </c>
      <c r="E415" s="12">
        <v>46023</v>
      </c>
      <c r="F415" s="2">
        <v>123</v>
      </c>
      <c r="G415" s="12">
        <v>46146</v>
      </c>
      <c r="H415" s="2" t="s">
        <v>233</v>
      </c>
      <c r="I415" s="2">
        <v>198758.49</v>
      </c>
      <c r="J415" s="2"/>
      <c r="K415" s="2"/>
    </row>
    <row r="416" spans="1:14" x14ac:dyDescent="0.3">
      <c r="A416" s="2" t="s">
        <v>620</v>
      </c>
      <c r="B416" s="2" t="s">
        <v>125</v>
      </c>
      <c r="C416" s="2" t="s">
        <v>196</v>
      </c>
      <c r="D416" s="2" t="s">
        <v>621</v>
      </c>
      <c r="E416" s="12">
        <v>46160</v>
      </c>
      <c r="F416" s="2">
        <v>104</v>
      </c>
      <c r="G416" s="12">
        <v>46264</v>
      </c>
      <c r="H416" s="2" t="s">
        <v>236</v>
      </c>
      <c r="I416" s="2">
        <v>121617.44</v>
      </c>
      <c r="J416" s="2"/>
      <c r="K416" s="2"/>
      <c r="L416" s="2"/>
      <c r="M416" s="12"/>
      <c r="N416" s="2"/>
    </row>
    <row r="417" spans="1:14" x14ac:dyDescent="0.3">
      <c r="A417" s="2" t="s">
        <v>622</v>
      </c>
      <c r="B417" s="2" t="s">
        <v>163</v>
      </c>
      <c r="C417" s="2" t="s">
        <v>213</v>
      </c>
      <c r="D417" s="2" t="s">
        <v>623</v>
      </c>
      <c r="E417" s="12">
        <v>45332</v>
      </c>
      <c r="F417" s="2">
        <v>91</v>
      </c>
      <c r="G417" s="12">
        <v>45423</v>
      </c>
      <c r="H417" s="2" t="s">
        <v>233</v>
      </c>
      <c r="I417" s="2">
        <v>69959.839999999997</v>
      </c>
      <c r="J417" s="2"/>
      <c r="K417" s="2"/>
    </row>
    <row r="418" spans="1:14" x14ac:dyDescent="0.3">
      <c r="A418" s="2" t="s">
        <v>624</v>
      </c>
      <c r="B418" s="2" t="s">
        <v>42</v>
      </c>
      <c r="C418" s="2" t="s">
        <v>198</v>
      </c>
      <c r="D418" s="2" t="s">
        <v>625</v>
      </c>
      <c r="E418" s="12">
        <v>46031</v>
      </c>
      <c r="F418" s="2">
        <v>123</v>
      </c>
      <c r="G418" s="12">
        <v>46154</v>
      </c>
      <c r="H418" s="2" t="s">
        <v>285</v>
      </c>
      <c r="I418" s="2">
        <v>177607.84</v>
      </c>
      <c r="J418" s="2"/>
      <c r="K418" s="2"/>
    </row>
    <row r="419" spans="1:14" x14ac:dyDescent="0.3">
      <c r="A419" s="2" t="s">
        <v>626</v>
      </c>
      <c r="B419" s="2" t="s">
        <v>145</v>
      </c>
      <c r="C419" s="2" t="s">
        <v>196</v>
      </c>
      <c r="D419" s="2" t="s">
        <v>627</v>
      </c>
      <c r="E419" s="12">
        <v>45995</v>
      </c>
      <c r="F419" s="2">
        <v>124</v>
      </c>
      <c r="G419" s="12">
        <v>46119</v>
      </c>
      <c r="H419" s="2" t="s">
        <v>233</v>
      </c>
      <c r="I419" s="2">
        <v>124086.76</v>
      </c>
      <c r="J419" s="2"/>
      <c r="K419" s="2"/>
    </row>
    <row r="420" spans="1:14" x14ac:dyDescent="0.3">
      <c r="A420" s="2" t="s">
        <v>628</v>
      </c>
      <c r="B420" s="2" t="s">
        <v>100</v>
      </c>
      <c r="C420" s="2" t="s">
        <v>196</v>
      </c>
      <c r="D420" s="2" t="s">
        <v>629</v>
      </c>
      <c r="E420" s="12">
        <v>45793</v>
      </c>
      <c r="F420" s="2">
        <v>84</v>
      </c>
      <c r="G420" s="12">
        <v>45877</v>
      </c>
      <c r="H420" s="2" t="s">
        <v>233</v>
      </c>
      <c r="I420" s="2">
        <v>155606.99</v>
      </c>
      <c r="J420" s="2"/>
      <c r="K420" s="2"/>
    </row>
    <row r="421" spans="1:14" x14ac:dyDescent="0.3">
      <c r="A421" s="2" t="s">
        <v>630</v>
      </c>
      <c r="B421" s="2" t="s">
        <v>149</v>
      </c>
      <c r="C421" s="2" t="s">
        <v>207</v>
      </c>
      <c r="D421" s="2" t="s">
        <v>631</v>
      </c>
      <c r="E421" s="12">
        <v>45436</v>
      </c>
      <c r="F421" s="2">
        <v>166</v>
      </c>
      <c r="G421" s="12">
        <v>45602</v>
      </c>
      <c r="H421" s="2" t="s">
        <v>233</v>
      </c>
      <c r="I421" s="2">
        <v>200927.04</v>
      </c>
      <c r="J421" s="2"/>
      <c r="K421" s="2"/>
    </row>
    <row r="422" spans="1:14" x14ac:dyDescent="0.3">
      <c r="A422" s="2" t="s">
        <v>632</v>
      </c>
      <c r="B422" s="2" t="s">
        <v>112</v>
      </c>
      <c r="C422" s="2" t="s">
        <v>213</v>
      </c>
      <c r="D422" s="2" t="s">
        <v>633</v>
      </c>
      <c r="E422" s="12">
        <v>45492</v>
      </c>
      <c r="F422" s="2">
        <v>160</v>
      </c>
      <c r="G422" s="12">
        <v>45652</v>
      </c>
      <c r="H422" s="2" t="s">
        <v>230</v>
      </c>
      <c r="I422" s="2">
        <v>103099.5</v>
      </c>
      <c r="J422" s="2"/>
      <c r="K422" s="2"/>
      <c r="L422" s="2"/>
      <c r="M422" s="12"/>
    </row>
    <row r="423" spans="1:14" x14ac:dyDescent="0.3">
      <c r="A423" s="2" t="s">
        <v>634</v>
      </c>
      <c r="B423" s="2" t="s">
        <v>167</v>
      </c>
      <c r="C423" s="2" t="s">
        <v>210</v>
      </c>
      <c r="D423" s="2" t="s">
        <v>635</v>
      </c>
      <c r="E423" s="12">
        <v>46015</v>
      </c>
      <c r="F423" s="2">
        <v>60</v>
      </c>
      <c r="G423" s="12">
        <v>46075</v>
      </c>
      <c r="H423" s="2" t="s">
        <v>233</v>
      </c>
      <c r="I423" s="2">
        <v>97750.93</v>
      </c>
      <c r="J423" s="2"/>
      <c r="K423" s="2"/>
    </row>
    <row r="424" spans="1:14" x14ac:dyDescent="0.3">
      <c r="A424" s="2" t="s">
        <v>636</v>
      </c>
      <c r="B424" s="2" t="s">
        <v>104</v>
      </c>
      <c r="C424" s="2" t="s">
        <v>204</v>
      </c>
      <c r="D424" s="2" t="s">
        <v>637</v>
      </c>
      <c r="E424" s="12">
        <v>45752</v>
      </c>
      <c r="F424" s="2">
        <v>69</v>
      </c>
      <c r="G424" s="12">
        <v>45821</v>
      </c>
      <c r="H424" s="2" t="s">
        <v>233</v>
      </c>
      <c r="I424" s="2">
        <v>64320.01</v>
      </c>
      <c r="J424" s="2"/>
      <c r="K424" s="2"/>
    </row>
    <row r="425" spans="1:14" x14ac:dyDescent="0.3">
      <c r="A425" s="2" t="s">
        <v>638</v>
      </c>
      <c r="B425" s="2" t="s">
        <v>139</v>
      </c>
      <c r="C425" s="2" t="s">
        <v>201</v>
      </c>
      <c r="D425" s="2" t="s">
        <v>639</v>
      </c>
      <c r="E425" s="12">
        <v>46023</v>
      </c>
      <c r="F425" s="2">
        <v>65</v>
      </c>
      <c r="G425" s="12">
        <v>46088</v>
      </c>
      <c r="H425" s="2" t="s">
        <v>230</v>
      </c>
      <c r="I425" s="2">
        <v>195910.14</v>
      </c>
      <c r="J425" s="2"/>
      <c r="K425" s="2"/>
      <c r="L425" s="2"/>
      <c r="M425" s="12"/>
    </row>
    <row r="426" spans="1:14" x14ac:dyDescent="0.3">
      <c r="A426" s="2" t="s">
        <v>640</v>
      </c>
      <c r="B426" s="2" t="s">
        <v>153</v>
      </c>
      <c r="C426" s="2" t="s">
        <v>201</v>
      </c>
      <c r="D426" s="2" t="s">
        <v>641</v>
      </c>
      <c r="E426" s="12">
        <v>46043</v>
      </c>
      <c r="F426" s="2">
        <v>35</v>
      </c>
      <c r="G426" s="12">
        <v>46078</v>
      </c>
      <c r="H426" s="2" t="s">
        <v>230</v>
      </c>
      <c r="I426" s="2">
        <v>178910.41</v>
      </c>
      <c r="J426" s="2"/>
      <c r="K426" s="2"/>
      <c r="L426" s="2"/>
      <c r="M426" s="12"/>
    </row>
    <row r="427" spans="1:14" x14ac:dyDescent="0.3">
      <c r="A427" s="2" t="s">
        <v>642</v>
      </c>
      <c r="B427" s="2" t="s">
        <v>118</v>
      </c>
      <c r="C427" s="2" t="s">
        <v>198</v>
      </c>
      <c r="D427" s="2" t="s">
        <v>643</v>
      </c>
      <c r="E427" s="12">
        <v>46200</v>
      </c>
      <c r="F427" s="2">
        <v>95</v>
      </c>
      <c r="G427" s="12">
        <v>46295</v>
      </c>
      <c r="H427" s="2" t="s">
        <v>236</v>
      </c>
      <c r="I427" s="2">
        <v>194585.35</v>
      </c>
      <c r="J427" s="2"/>
      <c r="K427" s="2"/>
      <c r="L427" s="2"/>
      <c r="M427" s="12"/>
      <c r="N427" s="2"/>
    </row>
    <row r="428" spans="1:14" x14ac:dyDescent="0.3">
      <c r="A428" s="2" t="s">
        <v>644</v>
      </c>
      <c r="B428" s="2" t="s">
        <v>40</v>
      </c>
      <c r="C428" s="2" t="s">
        <v>198</v>
      </c>
      <c r="D428" s="2" t="s">
        <v>645</v>
      </c>
      <c r="E428" s="12">
        <v>45849</v>
      </c>
      <c r="F428" s="2">
        <v>104</v>
      </c>
      <c r="G428" s="12">
        <v>45953</v>
      </c>
      <c r="H428" s="2" t="s">
        <v>236</v>
      </c>
      <c r="I428" s="2">
        <v>163595.26999999999</v>
      </c>
      <c r="J428" s="2"/>
      <c r="K428" s="2"/>
      <c r="L428" s="2"/>
      <c r="M428" s="12"/>
      <c r="N428" s="2"/>
    </row>
    <row r="429" spans="1:14" x14ac:dyDescent="0.3">
      <c r="A429" s="2" t="s">
        <v>646</v>
      </c>
      <c r="B429" s="2" t="s">
        <v>151</v>
      </c>
      <c r="C429" s="2" t="s">
        <v>201</v>
      </c>
      <c r="D429" s="2" t="s">
        <v>647</v>
      </c>
      <c r="E429" s="12">
        <v>45838</v>
      </c>
      <c r="F429" s="2">
        <v>33</v>
      </c>
      <c r="G429" s="12">
        <v>45871</v>
      </c>
      <c r="H429" s="2" t="s">
        <v>236</v>
      </c>
      <c r="I429" s="2">
        <v>228586.56</v>
      </c>
      <c r="J429" s="2"/>
      <c r="K429" s="2"/>
      <c r="L429" s="2"/>
      <c r="M429" s="12"/>
      <c r="N429" s="2"/>
    </row>
    <row r="430" spans="1:14" x14ac:dyDescent="0.3">
      <c r="A430" s="2" t="s">
        <v>648</v>
      </c>
      <c r="B430" s="2" t="s">
        <v>181</v>
      </c>
      <c r="C430" s="2" t="s">
        <v>204</v>
      </c>
      <c r="D430" s="2" t="s">
        <v>649</v>
      </c>
      <c r="E430" s="12">
        <v>45544</v>
      </c>
      <c r="F430" s="2">
        <v>108</v>
      </c>
      <c r="G430" s="12">
        <v>45652</v>
      </c>
      <c r="H430" s="2" t="s">
        <v>236</v>
      </c>
      <c r="I430" s="2">
        <v>66512.23</v>
      </c>
      <c r="J430" s="2"/>
      <c r="K430" s="2"/>
      <c r="L430" s="2"/>
      <c r="M430" s="12"/>
      <c r="N430" s="2"/>
    </row>
    <row r="431" spans="1:14" x14ac:dyDescent="0.3">
      <c r="A431" s="2" t="s">
        <v>650</v>
      </c>
      <c r="B431" s="2" t="s">
        <v>74</v>
      </c>
      <c r="C431" s="2" t="s">
        <v>201</v>
      </c>
      <c r="D431" s="2" t="s">
        <v>651</v>
      </c>
      <c r="E431" s="12">
        <v>45681</v>
      </c>
      <c r="F431" s="2">
        <v>163</v>
      </c>
      <c r="G431" s="12">
        <v>45844</v>
      </c>
      <c r="H431" s="2" t="s">
        <v>233</v>
      </c>
      <c r="I431" s="2">
        <v>194547.67</v>
      </c>
      <c r="J431" s="2"/>
      <c r="K431" s="2"/>
    </row>
    <row r="432" spans="1:14" x14ac:dyDescent="0.3">
      <c r="A432" s="2" t="s">
        <v>652</v>
      </c>
      <c r="B432" s="2" t="s">
        <v>169</v>
      </c>
      <c r="C432" s="2" t="s">
        <v>210</v>
      </c>
      <c r="D432" s="2" t="s">
        <v>653</v>
      </c>
      <c r="E432" s="12">
        <v>45885</v>
      </c>
      <c r="F432" s="2">
        <v>147</v>
      </c>
      <c r="G432" s="12">
        <v>46032</v>
      </c>
      <c r="H432" s="2" t="s">
        <v>233</v>
      </c>
      <c r="I432" s="2">
        <v>141482.04999999999</v>
      </c>
      <c r="J432" s="2"/>
      <c r="K432" s="2"/>
    </row>
    <row r="433" spans="1:14" x14ac:dyDescent="0.3">
      <c r="A433" s="2" t="s">
        <v>654</v>
      </c>
      <c r="B433" s="2" t="s">
        <v>131</v>
      </c>
      <c r="C433" s="2" t="s">
        <v>204</v>
      </c>
      <c r="D433" s="2" t="s">
        <v>655</v>
      </c>
      <c r="E433" s="12">
        <v>46174</v>
      </c>
      <c r="F433" s="2">
        <v>142</v>
      </c>
      <c r="G433" s="12">
        <v>46316</v>
      </c>
      <c r="H433" s="2" t="s">
        <v>285</v>
      </c>
      <c r="I433" s="2">
        <v>69784.100000000006</v>
      </c>
      <c r="J433" s="2"/>
      <c r="K433" s="2"/>
    </row>
    <row r="434" spans="1:14" x14ac:dyDescent="0.3">
      <c r="A434" s="2" t="s">
        <v>656</v>
      </c>
      <c r="B434" s="2" t="s">
        <v>21</v>
      </c>
      <c r="C434" s="2" t="s">
        <v>198</v>
      </c>
      <c r="D434" s="2" t="s">
        <v>657</v>
      </c>
      <c r="E434" s="12">
        <v>45547</v>
      </c>
      <c r="F434" s="2">
        <v>123</v>
      </c>
      <c r="G434" s="12">
        <v>45670</v>
      </c>
      <c r="H434" s="2" t="s">
        <v>236</v>
      </c>
      <c r="I434" s="2">
        <v>85704.76</v>
      </c>
      <c r="J434" s="2"/>
      <c r="K434" s="2"/>
      <c r="L434" s="2"/>
      <c r="M434" s="12"/>
      <c r="N434" s="2"/>
    </row>
    <row r="435" spans="1:14" x14ac:dyDescent="0.3">
      <c r="A435" s="2" t="s">
        <v>658</v>
      </c>
      <c r="B435" s="2" t="s">
        <v>145</v>
      </c>
      <c r="C435" s="2" t="s">
        <v>193</v>
      </c>
      <c r="D435" s="2" t="s">
        <v>659</v>
      </c>
      <c r="E435" s="12">
        <v>46000</v>
      </c>
      <c r="F435" s="2">
        <v>91</v>
      </c>
      <c r="G435" s="12">
        <v>46091</v>
      </c>
      <c r="H435" s="2" t="s">
        <v>285</v>
      </c>
      <c r="I435" s="2">
        <v>69672.509999999995</v>
      </c>
      <c r="J435" s="2"/>
      <c r="K435" s="2"/>
    </row>
    <row r="436" spans="1:14" x14ac:dyDescent="0.3">
      <c r="A436" s="2" t="s">
        <v>660</v>
      </c>
      <c r="B436" s="2" t="s">
        <v>171</v>
      </c>
      <c r="C436" s="2" t="s">
        <v>207</v>
      </c>
      <c r="D436" s="2" t="s">
        <v>661</v>
      </c>
      <c r="E436" s="12">
        <v>46106</v>
      </c>
      <c r="F436" s="2">
        <v>108</v>
      </c>
      <c r="G436" s="12">
        <v>46214</v>
      </c>
      <c r="H436" s="2" t="s">
        <v>233</v>
      </c>
      <c r="I436" s="2">
        <v>98435.99</v>
      </c>
      <c r="J436" s="2"/>
      <c r="K436" s="2"/>
    </row>
    <row r="437" spans="1:14" x14ac:dyDescent="0.3">
      <c r="A437" s="2" t="s">
        <v>662</v>
      </c>
      <c r="B437" s="2" t="s">
        <v>62</v>
      </c>
      <c r="C437" s="2" t="s">
        <v>210</v>
      </c>
      <c r="D437" s="2" t="s">
        <v>663</v>
      </c>
      <c r="E437" s="12">
        <v>45741</v>
      </c>
      <c r="F437" s="2">
        <v>165</v>
      </c>
      <c r="G437" s="12">
        <v>45906</v>
      </c>
      <c r="H437" s="2" t="s">
        <v>233</v>
      </c>
      <c r="I437" s="2">
        <v>141377.35</v>
      </c>
      <c r="J437" s="2"/>
      <c r="K437" s="2"/>
    </row>
    <row r="438" spans="1:14" x14ac:dyDescent="0.3">
      <c r="A438" s="2" t="s">
        <v>664</v>
      </c>
      <c r="B438" s="2" t="s">
        <v>153</v>
      </c>
      <c r="C438" s="2" t="s">
        <v>210</v>
      </c>
      <c r="D438" s="2" t="s">
        <v>665</v>
      </c>
      <c r="E438" s="12">
        <v>45301</v>
      </c>
      <c r="F438" s="2">
        <v>55</v>
      </c>
      <c r="G438" s="12">
        <v>45356</v>
      </c>
      <c r="H438" s="2" t="s">
        <v>285</v>
      </c>
      <c r="I438" s="2">
        <v>170333.24</v>
      </c>
      <c r="J438" s="2"/>
      <c r="K438" s="2"/>
    </row>
    <row r="439" spans="1:14" x14ac:dyDescent="0.3">
      <c r="A439" s="2" t="s">
        <v>666</v>
      </c>
      <c r="B439" s="2" t="s">
        <v>135</v>
      </c>
      <c r="C439" s="2" t="s">
        <v>213</v>
      </c>
      <c r="D439" s="2" t="s">
        <v>667</v>
      </c>
      <c r="E439" s="12">
        <v>46115</v>
      </c>
      <c r="F439" s="2">
        <v>73</v>
      </c>
      <c r="G439" s="12">
        <v>46188</v>
      </c>
      <c r="H439" s="2" t="s">
        <v>233</v>
      </c>
      <c r="I439" s="2">
        <v>70155.199999999997</v>
      </c>
      <c r="J439" s="2"/>
      <c r="K439" s="2"/>
    </row>
    <row r="440" spans="1:14" x14ac:dyDescent="0.3">
      <c r="A440" s="2" t="s">
        <v>668</v>
      </c>
      <c r="B440" s="2" t="s">
        <v>175</v>
      </c>
      <c r="C440" s="2" t="s">
        <v>198</v>
      </c>
      <c r="D440" s="2" t="s">
        <v>669</v>
      </c>
      <c r="E440" s="12">
        <v>46089</v>
      </c>
      <c r="F440" s="2">
        <v>162</v>
      </c>
      <c r="G440" s="12">
        <v>46251</v>
      </c>
      <c r="H440" s="2" t="s">
        <v>236</v>
      </c>
      <c r="I440" s="2">
        <v>117374.58</v>
      </c>
      <c r="J440" s="2"/>
      <c r="K440" s="2"/>
      <c r="L440" s="2"/>
      <c r="M440" s="12"/>
      <c r="N440" s="2"/>
    </row>
    <row r="441" spans="1:14" x14ac:dyDescent="0.3">
      <c r="A441" s="2" t="s">
        <v>670</v>
      </c>
      <c r="B441" s="2" t="s">
        <v>141</v>
      </c>
      <c r="C441" s="2" t="s">
        <v>198</v>
      </c>
      <c r="D441" s="2" t="s">
        <v>671</v>
      </c>
      <c r="E441" s="12">
        <v>45533</v>
      </c>
      <c r="F441" s="2">
        <v>99</v>
      </c>
      <c r="G441" s="12">
        <v>45632</v>
      </c>
      <c r="H441" s="2" t="s">
        <v>285</v>
      </c>
      <c r="I441" s="2">
        <v>115044.22</v>
      </c>
      <c r="J441" s="2"/>
      <c r="K441" s="2"/>
    </row>
  </sheetData>
  <pageMargins left="0.75" right="0.75" top="1" bottom="1" header="0.5" footer="0.5"/>
  <tableParts count="3"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1"/>
  <sheetViews>
    <sheetView topLeftCell="A34" workbookViewId="0">
      <selection activeCell="A47" sqref="A47:E91"/>
    </sheetView>
  </sheetViews>
  <sheetFormatPr defaultRowHeight="14.4" x14ac:dyDescent="0.3"/>
  <cols>
    <col min="1" max="1" width="14" customWidth="1"/>
    <col min="2" max="2" width="17.21875" customWidth="1"/>
    <col min="3" max="3" width="18.33203125" customWidth="1"/>
    <col min="4" max="4" width="11.109375" customWidth="1"/>
    <col min="5" max="5" width="21.5546875" customWidth="1"/>
  </cols>
  <sheetData>
    <row r="1" spans="1:7" x14ac:dyDescent="0.3">
      <c r="A1" s="1" t="s">
        <v>672</v>
      </c>
      <c r="B1" s="1" t="s">
        <v>673</v>
      </c>
      <c r="C1" s="1" t="s">
        <v>674</v>
      </c>
      <c r="D1" s="1" t="s">
        <v>675</v>
      </c>
      <c r="E1" s="1" t="s">
        <v>676</v>
      </c>
      <c r="F1" s="2"/>
      <c r="G1" s="2"/>
    </row>
    <row r="2" spans="1:7" x14ac:dyDescent="0.3">
      <c r="A2" s="2" t="s">
        <v>677</v>
      </c>
      <c r="B2" s="2" t="s">
        <v>678</v>
      </c>
      <c r="C2" s="2" t="s">
        <v>679</v>
      </c>
      <c r="D2" s="2" t="s">
        <v>680</v>
      </c>
      <c r="E2" s="3">
        <v>44941</v>
      </c>
    </row>
    <row r="3" spans="1:7" x14ac:dyDescent="0.3">
      <c r="A3" s="2" t="s">
        <v>681</v>
      </c>
      <c r="B3" s="2" t="s">
        <v>682</v>
      </c>
      <c r="C3" s="2" t="s">
        <v>683</v>
      </c>
      <c r="D3" s="2" t="s">
        <v>684</v>
      </c>
      <c r="E3" s="3">
        <v>45518</v>
      </c>
    </row>
    <row r="4" spans="1:7" x14ac:dyDescent="0.3">
      <c r="A4" s="2" t="s">
        <v>685</v>
      </c>
      <c r="B4" s="2" t="s">
        <v>686</v>
      </c>
      <c r="C4" s="2" t="s">
        <v>215</v>
      </c>
      <c r="D4" s="2" t="s">
        <v>687</v>
      </c>
      <c r="E4" s="3">
        <v>45252</v>
      </c>
    </row>
    <row r="5" spans="1:7" x14ac:dyDescent="0.3">
      <c r="A5" s="2" t="s">
        <v>688</v>
      </c>
      <c r="B5" s="2" t="s">
        <v>689</v>
      </c>
      <c r="C5" s="2" t="s">
        <v>211</v>
      </c>
      <c r="D5" s="2" t="s">
        <v>690</v>
      </c>
      <c r="E5" s="3">
        <v>46012</v>
      </c>
    </row>
    <row r="6" spans="1:7" x14ac:dyDescent="0.3">
      <c r="A6" s="2" t="s">
        <v>691</v>
      </c>
      <c r="B6" s="2" t="s">
        <v>692</v>
      </c>
      <c r="C6" s="2" t="s">
        <v>215</v>
      </c>
      <c r="D6" s="2" t="s">
        <v>684</v>
      </c>
      <c r="E6" s="3">
        <v>45853</v>
      </c>
    </row>
    <row r="7" spans="1:7" x14ac:dyDescent="0.3">
      <c r="A7" s="2" t="s">
        <v>693</v>
      </c>
      <c r="B7" s="2" t="s">
        <v>694</v>
      </c>
      <c r="C7" s="2" t="s">
        <v>683</v>
      </c>
      <c r="D7" s="2" t="s">
        <v>684</v>
      </c>
      <c r="E7" s="3">
        <v>46002</v>
      </c>
    </row>
    <row r="8" spans="1:7" x14ac:dyDescent="0.3">
      <c r="A8" s="2" t="s">
        <v>695</v>
      </c>
      <c r="B8" s="2" t="s">
        <v>696</v>
      </c>
      <c r="C8" s="2" t="s">
        <v>683</v>
      </c>
      <c r="D8" s="2" t="s">
        <v>684</v>
      </c>
      <c r="E8" s="3">
        <v>45753</v>
      </c>
    </row>
    <row r="9" spans="1:7" x14ac:dyDescent="0.3">
      <c r="A9" s="2" t="s">
        <v>697</v>
      </c>
      <c r="B9" s="2" t="s">
        <v>698</v>
      </c>
      <c r="C9" s="2" t="s">
        <v>215</v>
      </c>
      <c r="D9" s="2" t="s">
        <v>687</v>
      </c>
      <c r="E9" s="3">
        <v>45628</v>
      </c>
    </row>
    <row r="10" spans="1:7" x14ac:dyDescent="0.3">
      <c r="A10" s="2" t="s">
        <v>699</v>
      </c>
      <c r="B10" s="2" t="s">
        <v>700</v>
      </c>
      <c r="C10" s="2" t="s">
        <v>679</v>
      </c>
      <c r="D10" s="2" t="s">
        <v>690</v>
      </c>
      <c r="E10" s="3">
        <v>44846</v>
      </c>
    </row>
    <row r="11" spans="1:7" x14ac:dyDescent="0.3">
      <c r="A11" s="2" t="s">
        <v>701</v>
      </c>
      <c r="B11" s="2" t="s">
        <v>702</v>
      </c>
      <c r="C11" s="2" t="s">
        <v>205</v>
      </c>
      <c r="D11" s="2" t="s">
        <v>690</v>
      </c>
      <c r="E11" s="3">
        <v>44958</v>
      </c>
    </row>
    <row r="12" spans="1:7" x14ac:dyDescent="0.3">
      <c r="A12" s="2" t="s">
        <v>703</v>
      </c>
      <c r="B12" s="2" t="s">
        <v>704</v>
      </c>
      <c r="C12" s="2" t="s">
        <v>683</v>
      </c>
      <c r="D12" s="2" t="s">
        <v>680</v>
      </c>
      <c r="E12" s="3">
        <v>44573</v>
      </c>
    </row>
    <row r="13" spans="1:7" x14ac:dyDescent="0.3">
      <c r="A13" s="2" t="s">
        <v>705</v>
      </c>
      <c r="B13" s="2" t="s">
        <v>706</v>
      </c>
      <c r="C13" s="2" t="s">
        <v>215</v>
      </c>
      <c r="D13" s="2" t="s">
        <v>690</v>
      </c>
      <c r="E13" s="3">
        <v>45887</v>
      </c>
    </row>
    <row r="14" spans="1:7" x14ac:dyDescent="0.3">
      <c r="A14" s="2" t="s">
        <v>707</v>
      </c>
      <c r="B14" s="2" t="s">
        <v>708</v>
      </c>
      <c r="C14" s="2" t="s">
        <v>215</v>
      </c>
      <c r="D14" s="2" t="s">
        <v>680</v>
      </c>
      <c r="E14" s="3">
        <v>45838</v>
      </c>
    </row>
    <row r="15" spans="1:7" x14ac:dyDescent="0.3">
      <c r="A15" s="2" t="s">
        <v>709</v>
      </c>
      <c r="B15" s="2" t="s">
        <v>710</v>
      </c>
      <c r="C15" s="2" t="s">
        <v>711</v>
      </c>
      <c r="D15" s="2" t="s">
        <v>684</v>
      </c>
      <c r="E15" s="3">
        <v>45060</v>
      </c>
    </row>
    <row r="16" spans="1:7" x14ac:dyDescent="0.3">
      <c r="A16" s="2" t="s">
        <v>712</v>
      </c>
      <c r="B16" s="2" t="s">
        <v>713</v>
      </c>
      <c r="C16" s="2" t="s">
        <v>205</v>
      </c>
      <c r="D16" s="2" t="s">
        <v>690</v>
      </c>
      <c r="E16" s="3">
        <v>45315</v>
      </c>
    </row>
    <row r="17" spans="1:5" x14ac:dyDescent="0.3">
      <c r="A17" s="2" t="s">
        <v>714</v>
      </c>
      <c r="B17" s="2" t="s">
        <v>715</v>
      </c>
      <c r="C17" s="2" t="s">
        <v>211</v>
      </c>
      <c r="D17" s="2" t="s">
        <v>684</v>
      </c>
      <c r="E17" s="3">
        <v>44596</v>
      </c>
    </row>
    <row r="18" spans="1:5" x14ac:dyDescent="0.3">
      <c r="A18" s="2" t="s">
        <v>716</v>
      </c>
      <c r="B18" s="2" t="s">
        <v>717</v>
      </c>
      <c r="C18" s="2" t="s">
        <v>679</v>
      </c>
      <c r="D18" s="2" t="s">
        <v>684</v>
      </c>
      <c r="E18" s="3">
        <v>45288</v>
      </c>
    </row>
    <row r="19" spans="1:5" x14ac:dyDescent="0.3">
      <c r="A19" s="2" t="s">
        <v>718</v>
      </c>
      <c r="B19" s="2" t="s">
        <v>719</v>
      </c>
      <c r="C19" s="2" t="s">
        <v>211</v>
      </c>
      <c r="D19" s="2" t="s">
        <v>690</v>
      </c>
      <c r="E19" s="3">
        <v>45410</v>
      </c>
    </row>
    <row r="20" spans="1:5" x14ac:dyDescent="0.3">
      <c r="A20" s="2" t="s">
        <v>720</v>
      </c>
      <c r="B20" s="2" t="s">
        <v>721</v>
      </c>
      <c r="C20" s="2" t="s">
        <v>205</v>
      </c>
      <c r="D20" s="2" t="s">
        <v>684</v>
      </c>
      <c r="E20" s="3">
        <v>44651</v>
      </c>
    </row>
    <row r="21" spans="1:5" x14ac:dyDescent="0.3">
      <c r="A21" s="2" t="s">
        <v>722</v>
      </c>
      <c r="B21" s="2" t="s">
        <v>723</v>
      </c>
      <c r="C21" s="2" t="s">
        <v>205</v>
      </c>
      <c r="D21" s="2" t="s">
        <v>684</v>
      </c>
      <c r="E21" s="3">
        <v>45337</v>
      </c>
    </row>
    <row r="22" spans="1:5" x14ac:dyDescent="0.3">
      <c r="A22" s="2" t="s">
        <v>724</v>
      </c>
      <c r="B22" s="2" t="s">
        <v>725</v>
      </c>
      <c r="C22" s="2" t="s">
        <v>205</v>
      </c>
      <c r="D22" s="2" t="s">
        <v>690</v>
      </c>
      <c r="E22" s="3">
        <v>45166</v>
      </c>
    </row>
    <row r="23" spans="1:5" x14ac:dyDescent="0.3">
      <c r="A23" s="2" t="s">
        <v>726</v>
      </c>
      <c r="B23" s="2" t="s">
        <v>727</v>
      </c>
      <c r="C23" s="2" t="s">
        <v>211</v>
      </c>
      <c r="D23" s="2" t="s">
        <v>687</v>
      </c>
      <c r="E23" s="3">
        <v>45531</v>
      </c>
    </row>
    <row r="24" spans="1:5" x14ac:dyDescent="0.3">
      <c r="A24" s="2" t="s">
        <v>728</v>
      </c>
      <c r="B24" s="2" t="s">
        <v>729</v>
      </c>
      <c r="C24" s="2" t="s">
        <v>205</v>
      </c>
      <c r="D24" s="2" t="s">
        <v>684</v>
      </c>
      <c r="E24" s="3">
        <v>45583</v>
      </c>
    </row>
    <row r="25" spans="1:5" x14ac:dyDescent="0.3">
      <c r="A25" s="2" t="s">
        <v>730</v>
      </c>
      <c r="B25" s="2" t="s">
        <v>731</v>
      </c>
      <c r="C25" s="2" t="s">
        <v>215</v>
      </c>
      <c r="D25" s="2" t="s">
        <v>684</v>
      </c>
      <c r="E25" s="3">
        <v>44979</v>
      </c>
    </row>
    <row r="26" spans="1:5" x14ac:dyDescent="0.3">
      <c r="A26" s="2" t="s">
        <v>732</v>
      </c>
      <c r="B26" s="2" t="s">
        <v>733</v>
      </c>
      <c r="C26" s="2" t="s">
        <v>211</v>
      </c>
      <c r="D26" s="2" t="s">
        <v>680</v>
      </c>
      <c r="E26" s="3">
        <v>44676</v>
      </c>
    </row>
    <row r="27" spans="1:5" x14ac:dyDescent="0.3">
      <c r="A27" s="2" t="s">
        <v>734</v>
      </c>
      <c r="B27" s="2" t="s">
        <v>735</v>
      </c>
      <c r="C27" s="2" t="s">
        <v>205</v>
      </c>
      <c r="D27" s="2" t="s">
        <v>680</v>
      </c>
      <c r="E27" s="3">
        <v>45178</v>
      </c>
    </row>
    <row r="28" spans="1:5" x14ac:dyDescent="0.3">
      <c r="A28" s="2" t="s">
        <v>736</v>
      </c>
      <c r="B28" s="2" t="s">
        <v>737</v>
      </c>
      <c r="C28" s="2" t="s">
        <v>215</v>
      </c>
      <c r="D28" s="2" t="s">
        <v>690</v>
      </c>
      <c r="E28" s="3">
        <v>45781</v>
      </c>
    </row>
    <row r="29" spans="1:5" x14ac:dyDescent="0.3">
      <c r="A29" s="2" t="s">
        <v>738</v>
      </c>
      <c r="B29" s="2" t="s">
        <v>739</v>
      </c>
      <c r="C29" s="2" t="s">
        <v>711</v>
      </c>
      <c r="D29" s="2" t="s">
        <v>690</v>
      </c>
      <c r="E29" s="3">
        <v>45387</v>
      </c>
    </row>
    <row r="30" spans="1:5" x14ac:dyDescent="0.3">
      <c r="A30" s="2" t="s">
        <v>740</v>
      </c>
      <c r="B30" s="2" t="s">
        <v>741</v>
      </c>
      <c r="C30" s="2" t="s">
        <v>205</v>
      </c>
      <c r="D30" s="2" t="s">
        <v>690</v>
      </c>
      <c r="E30" s="3">
        <v>45660</v>
      </c>
    </row>
    <row r="31" spans="1:5" x14ac:dyDescent="0.3">
      <c r="A31" s="2" t="s">
        <v>742</v>
      </c>
      <c r="B31" s="2" t="s">
        <v>743</v>
      </c>
      <c r="C31" s="2" t="s">
        <v>211</v>
      </c>
      <c r="D31" s="2" t="s">
        <v>684</v>
      </c>
      <c r="E31" s="3">
        <v>44974</v>
      </c>
    </row>
    <row r="32" spans="1:5" x14ac:dyDescent="0.3">
      <c r="A32" s="2" t="s">
        <v>744</v>
      </c>
      <c r="B32" s="2" t="s">
        <v>745</v>
      </c>
      <c r="C32" s="2" t="s">
        <v>683</v>
      </c>
      <c r="D32" s="2" t="s">
        <v>687</v>
      </c>
      <c r="E32" s="3">
        <v>45961</v>
      </c>
    </row>
    <row r="33" spans="1:6" x14ac:dyDescent="0.3">
      <c r="A33" s="2" t="s">
        <v>746</v>
      </c>
      <c r="B33" s="2" t="s">
        <v>747</v>
      </c>
      <c r="C33" s="2" t="s">
        <v>205</v>
      </c>
      <c r="D33" s="2" t="s">
        <v>680</v>
      </c>
      <c r="E33" s="3">
        <v>46005</v>
      </c>
    </row>
    <row r="34" spans="1:6" x14ac:dyDescent="0.3">
      <c r="A34" s="2" t="s">
        <v>748</v>
      </c>
      <c r="B34" s="2" t="s">
        <v>749</v>
      </c>
      <c r="C34" s="2" t="s">
        <v>683</v>
      </c>
      <c r="D34" s="2" t="s">
        <v>690</v>
      </c>
      <c r="E34" s="3">
        <v>45290</v>
      </c>
    </row>
    <row r="35" spans="1:6" x14ac:dyDescent="0.3">
      <c r="A35" s="2" t="s">
        <v>750</v>
      </c>
      <c r="B35" s="2" t="s">
        <v>751</v>
      </c>
      <c r="C35" s="2" t="s">
        <v>215</v>
      </c>
      <c r="D35" s="2" t="s">
        <v>684</v>
      </c>
      <c r="E35" s="3">
        <v>45862</v>
      </c>
    </row>
    <row r="36" spans="1:6" x14ac:dyDescent="0.3">
      <c r="A36" s="2" t="s">
        <v>752</v>
      </c>
      <c r="B36" s="2" t="s">
        <v>753</v>
      </c>
      <c r="C36" s="2" t="s">
        <v>711</v>
      </c>
      <c r="D36" s="2" t="s">
        <v>687</v>
      </c>
      <c r="E36" s="3">
        <v>45582</v>
      </c>
    </row>
    <row r="37" spans="1:6" x14ac:dyDescent="0.3">
      <c r="A37" s="2" t="s">
        <v>754</v>
      </c>
      <c r="B37" s="2" t="s">
        <v>755</v>
      </c>
      <c r="C37" s="2" t="s">
        <v>679</v>
      </c>
      <c r="D37" s="2" t="s">
        <v>690</v>
      </c>
      <c r="E37" s="3">
        <v>45322</v>
      </c>
    </row>
    <row r="38" spans="1:6" x14ac:dyDescent="0.3">
      <c r="A38" s="2" t="s">
        <v>756</v>
      </c>
      <c r="B38" s="2" t="s">
        <v>757</v>
      </c>
      <c r="C38" s="2" t="s">
        <v>711</v>
      </c>
      <c r="D38" s="2" t="s">
        <v>690</v>
      </c>
      <c r="E38" s="3">
        <v>45237</v>
      </c>
    </row>
    <row r="39" spans="1:6" x14ac:dyDescent="0.3">
      <c r="A39" s="2" t="s">
        <v>758</v>
      </c>
      <c r="B39" s="2" t="s">
        <v>759</v>
      </c>
      <c r="C39" s="2" t="s">
        <v>205</v>
      </c>
      <c r="D39" s="2" t="s">
        <v>680</v>
      </c>
      <c r="E39" s="3">
        <v>45979</v>
      </c>
    </row>
    <row r="40" spans="1:6" x14ac:dyDescent="0.3">
      <c r="A40" s="2" t="s">
        <v>760</v>
      </c>
      <c r="B40" s="2" t="s">
        <v>761</v>
      </c>
      <c r="C40" s="2" t="s">
        <v>683</v>
      </c>
      <c r="D40" s="2" t="s">
        <v>690</v>
      </c>
      <c r="E40" s="3">
        <v>45018</v>
      </c>
    </row>
    <row r="41" spans="1:6" x14ac:dyDescent="0.3">
      <c r="A41" s="2" t="s">
        <v>762</v>
      </c>
      <c r="B41" s="2" t="s">
        <v>763</v>
      </c>
      <c r="C41" s="2" t="s">
        <v>683</v>
      </c>
      <c r="D41" s="2" t="s">
        <v>687</v>
      </c>
      <c r="E41" s="3">
        <v>45481</v>
      </c>
    </row>
    <row r="42" spans="1:6" x14ac:dyDescent="0.3">
      <c r="A42" s="2" t="s">
        <v>764</v>
      </c>
      <c r="B42" s="2" t="s">
        <v>765</v>
      </c>
      <c r="C42" s="2" t="s">
        <v>211</v>
      </c>
      <c r="D42" s="2" t="s">
        <v>687</v>
      </c>
      <c r="E42" s="3">
        <v>44753</v>
      </c>
    </row>
    <row r="43" spans="1:6" x14ac:dyDescent="0.3">
      <c r="A43" s="2" t="s">
        <v>766</v>
      </c>
      <c r="B43" s="2" t="s">
        <v>767</v>
      </c>
      <c r="C43" s="2" t="s">
        <v>683</v>
      </c>
      <c r="D43" s="2" t="s">
        <v>680</v>
      </c>
      <c r="E43" s="3">
        <v>45300</v>
      </c>
    </row>
    <row r="44" spans="1:6" x14ac:dyDescent="0.3">
      <c r="A44" s="2" t="s">
        <v>768</v>
      </c>
      <c r="B44" s="2" t="s">
        <v>769</v>
      </c>
      <c r="C44" s="2" t="s">
        <v>211</v>
      </c>
      <c r="D44" s="2" t="s">
        <v>690</v>
      </c>
      <c r="E44" s="3">
        <v>45684</v>
      </c>
    </row>
    <row r="45" spans="1:6" x14ac:dyDescent="0.3">
      <c r="A45" s="2" t="s">
        <v>770</v>
      </c>
      <c r="B45" s="2" t="s">
        <v>771</v>
      </c>
      <c r="C45" s="2" t="s">
        <v>215</v>
      </c>
      <c r="D45" s="2" t="s">
        <v>680</v>
      </c>
      <c r="E45" s="3">
        <v>45539</v>
      </c>
    </row>
    <row r="46" spans="1:6" x14ac:dyDescent="0.3">
      <c r="A46" s="2" t="s">
        <v>772</v>
      </c>
      <c r="B46" s="2" t="s">
        <v>773</v>
      </c>
      <c r="C46" s="2" t="s">
        <v>679</v>
      </c>
      <c r="D46" s="2" t="s">
        <v>680</v>
      </c>
      <c r="E46" s="3">
        <v>45570</v>
      </c>
      <c r="F46" s="2"/>
    </row>
    <row r="47" spans="1:6" x14ac:dyDescent="0.3">
      <c r="A47" s="2"/>
      <c r="B47" s="2"/>
      <c r="C47" s="2"/>
      <c r="D47" s="2"/>
      <c r="E47" s="12"/>
    </row>
    <row r="48" spans="1:6" x14ac:dyDescent="0.3">
      <c r="A48" s="2"/>
      <c r="B48" s="2"/>
      <c r="C48" s="2"/>
      <c r="D48" s="2"/>
      <c r="E48" s="12"/>
    </row>
    <row r="49" spans="1:5" x14ac:dyDescent="0.3">
      <c r="A49" s="2"/>
      <c r="B49" s="2"/>
      <c r="C49" s="2"/>
      <c r="D49" s="2"/>
      <c r="E49" s="12"/>
    </row>
    <row r="50" spans="1:5" x14ac:dyDescent="0.3">
      <c r="A50" s="2"/>
      <c r="B50" s="2"/>
      <c r="C50" s="2"/>
      <c r="D50" s="2"/>
      <c r="E50" s="12"/>
    </row>
    <row r="51" spans="1:5" x14ac:dyDescent="0.3">
      <c r="A51" s="2"/>
      <c r="B51" s="2"/>
      <c r="C51" s="2"/>
      <c r="D51" s="2"/>
      <c r="E51" s="12"/>
    </row>
    <row r="52" spans="1:5" x14ac:dyDescent="0.3">
      <c r="A52" s="2"/>
      <c r="B52" s="2"/>
      <c r="C52" s="2"/>
      <c r="D52" s="2"/>
      <c r="E52" s="12"/>
    </row>
    <row r="53" spans="1:5" x14ac:dyDescent="0.3">
      <c r="A53" s="2"/>
      <c r="B53" s="2"/>
      <c r="C53" s="2"/>
      <c r="D53" s="2"/>
      <c r="E53" s="12"/>
    </row>
    <row r="54" spans="1:5" x14ac:dyDescent="0.3">
      <c r="A54" s="2"/>
      <c r="B54" s="2"/>
      <c r="C54" s="2"/>
      <c r="D54" s="2"/>
      <c r="E54" s="12"/>
    </row>
    <row r="55" spans="1:5" x14ac:dyDescent="0.3">
      <c r="A55" s="2"/>
      <c r="B55" s="2"/>
      <c r="C55" s="2"/>
      <c r="D55" s="2"/>
      <c r="E55" s="12"/>
    </row>
    <row r="56" spans="1:5" x14ac:dyDescent="0.3">
      <c r="A56" s="2"/>
      <c r="B56" s="2"/>
      <c r="C56" s="2"/>
      <c r="D56" s="2"/>
      <c r="E56" s="12"/>
    </row>
    <row r="57" spans="1:5" x14ac:dyDescent="0.3">
      <c r="A57" s="2"/>
      <c r="B57" s="2"/>
      <c r="C57" s="2"/>
      <c r="D57" s="2"/>
      <c r="E57" s="12"/>
    </row>
    <row r="58" spans="1:5" x14ac:dyDescent="0.3">
      <c r="A58" s="2"/>
      <c r="B58" s="2"/>
      <c r="C58" s="2"/>
      <c r="D58" s="2"/>
      <c r="E58" s="12"/>
    </row>
    <row r="59" spans="1:5" x14ac:dyDescent="0.3">
      <c r="A59" s="2"/>
      <c r="B59" s="2"/>
      <c r="C59" s="2"/>
      <c r="D59" s="2"/>
      <c r="E59" s="12"/>
    </row>
    <row r="60" spans="1:5" x14ac:dyDescent="0.3">
      <c r="A60" s="2"/>
      <c r="B60" s="2"/>
      <c r="C60" s="2"/>
      <c r="D60" s="2"/>
      <c r="E60" s="12"/>
    </row>
    <row r="61" spans="1:5" x14ac:dyDescent="0.3">
      <c r="A61" s="2"/>
      <c r="B61" s="2"/>
      <c r="C61" s="2"/>
      <c r="D61" s="2"/>
      <c r="E61" s="12"/>
    </row>
    <row r="62" spans="1:5" x14ac:dyDescent="0.3">
      <c r="A62" s="2"/>
      <c r="B62" s="2"/>
      <c r="C62" s="2"/>
      <c r="D62" s="2"/>
      <c r="E62" s="12"/>
    </row>
    <row r="63" spans="1:5" x14ac:dyDescent="0.3">
      <c r="A63" s="2"/>
      <c r="B63" s="2"/>
      <c r="C63" s="2"/>
      <c r="D63" s="2"/>
      <c r="E63" s="12"/>
    </row>
    <row r="64" spans="1:5" x14ac:dyDescent="0.3">
      <c r="A64" s="2"/>
      <c r="B64" s="2"/>
      <c r="C64" s="2"/>
      <c r="D64" s="2"/>
      <c r="E64" s="12"/>
    </row>
    <row r="65" spans="1:5" x14ac:dyDescent="0.3">
      <c r="A65" s="2"/>
      <c r="B65" s="2"/>
      <c r="C65" s="2"/>
      <c r="D65" s="2"/>
      <c r="E65" s="12"/>
    </row>
    <row r="66" spans="1:5" x14ac:dyDescent="0.3">
      <c r="A66" s="2"/>
      <c r="B66" s="2"/>
      <c r="C66" s="2"/>
      <c r="D66" s="2"/>
      <c r="E66" s="12"/>
    </row>
    <row r="67" spans="1:5" x14ac:dyDescent="0.3">
      <c r="A67" s="2"/>
      <c r="B67" s="2"/>
      <c r="C67" s="2"/>
      <c r="D67" s="2"/>
      <c r="E67" s="12"/>
    </row>
    <row r="68" spans="1:5" x14ac:dyDescent="0.3">
      <c r="A68" s="2"/>
      <c r="B68" s="2"/>
      <c r="C68" s="2"/>
      <c r="D68" s="2"/>
      <c r="E68" s="12"/>
    </row>
    <row r="69" spans="1:5" x14ac:dyDescent="0.3">
      <c r="A69" s="2"/>
      <c r="B69" s="2"/>
      <c r="C69" s="2"/>
      <c r="D69" s="2"/>
      <c r="E69" s="12"/>
    </row>
    <row r="70" spans="1:5" x14ac:dyDescent="0.3">
      <c r="A70" s="2"/>
      <c r="B70" s="2"/>
      <c r="C70" s="2"/>
      <c r="D70" s="2"/>
      <c r="E70" s="12"/>
    </row>
    <row r="71" spans="1:5" x14ac:dyDescent="0.3">
      <c r="A71" s="2"/>
      <c r="B71" s="2"/>
      <c r="C71" s="2"/>
      <c r="D71" s="2"/>
      <c r="E71" s="12"/>
    </row>
    <row r="72" spans="1:5" x14ac:dyDescent="0.3">
      <c r="A72" s="2"/>
      <c r="B72" s="2"/>
      <c r="C72" s="2"/>
      <c r="D72" s="2"/>
      <c r="E72" s="12"/>
    </row>
    <row r="73" spans="1:5" x14ac:dyDescent="0.3">
      <c r="A73" s="2"/>
      <c r="B73" s="2"/>
      <c r="C73" s="2"/>
      <c r="D73" s="2"/>
      <c r="E73" s="12"/>
    </row>
    <row r="74" spans="1:5" x14ac:dyDescent="0.3">
      <c r="A74" s="2"/>
      <c r="B74" s="2"/>
      <c r="C74" s="2"/>
      <c r="D74" s="2"/>
      <c r="E74" s="12"/>
    </row>
    <row r="75" spans="1:5" x14ac:dyDescent="0.3">
      <c r="A75" s="2"/>
      <c r="B75" s="2"/>
      <c r="C75" s="2"/>
      <c r="D75" s="2"/>
      <c r="E75" s="12"/>
    </row>
    <row r="76" spans="1:5" x14ac:dyDescent="0.3">
      <c r="A76" s="2"/>
      <c r="B76" s="2"/>
      <c r="C76" s="2"/>
      <c r="D76" s="2"/>
      <c r="E76" s="12"/>
    </row>
    <row r="77" spans="1:5" x14ac:dyDescent="0.3">
      <c r="A77" s="2"/>
      <c r="B77" s="2"/>
      <c r="C77" s="2"/>
      <c r="D77" s="2"/>
      <c r="E77" s="12"/>
    </row>
    <row r="78" spans="1:5" x14ac:dyDescent="0.3">
      <c r="A78" s="2"/>
      <c r="B78" s="2"/>
      <c r="C78" s="2"/>
      <c r="D78" s="2"/>
      <c r="E78" s="12"/>
    </row>
    <row r="79" spans="1:5" x14ac:dyDescent="0.3">
      <c r="A79" s="2"/>
      <c r="B79" s="2"/>
      <c r="C79" s="2"/>
      <c r="D79" s="2"/>
      <c r="E79" s="12"/>
    </row>
    <row r="80" spans="1:5" x14ac:dyDescent="0.3">
      <c r="A80" s="2"/>
      <c r="B80" s="2"/>
      <c r="C80" s="2"/>
      <c r="D80" s="2"/>
      <c r="E80" s="12"/>
    </row>
    <row r="81" spans="1:5" x14ac:dyDescent="0.3">
      <c r="A81" s="2"/>
      <c r="B81" s="2"/>
      <c r="C81" s="2"/>
      <c r="D81" s="2"/>
      <c r="E81" s="12"/>
    </row>
    <row r="82" spans="1:5" x14ac:dyDescent="0.3">
      <c r="A82" s="2"/>
      <c r="B82" s="2"/>
      <c r="C82" s="2"/>
      <c r="D82" s="2"/>
      <c r="E82" s="12"/>
    </row>
    <row r="83" spans="1:5" x14ac:dyDescent="0.3">
      <c r="A83" s="2"/>
      <c r="B83" s="2"/>
      <c r="C83" s="2"/>
      <c r="D83" s="2"/>
      <c r="E83" s="12"/>
    </row>
    <row r="84" spans="1:5" x14ac:dyDescent="0.3">
      <c r="A84" s="2"/>
      <c r="B84" s="2"/>
      <c r="C84" s="2"/>
      <c r="D84" s="2"/>
      <c r="E84" s="12"/>
    </row>
    <row r="85" spans="1:5" x14ac:dyDescent="0.3">
      <c r="A85" s="2"/>
      <c r="B85" s="2"/>
      <c r="C85" s="2"/>
      <c r="D85" s="2"/>
      <c r="E85" s="12"/>
    </row>
    <row r="86" spans="1:5" x14ac:dyDescent="0.3">
      <c r="A86" s="2"/>
      <c r="B86" s="2"/>
      <c r="C86" s="2"/>
      <c r="D86" s="2"/>
      <c r="E86" s="12"/>
    </row>
    <row r="87" spans="1:5" x14ac:dyDescent="0.3">
      <c r="A87" s="2"/>
      <c r="B87" s="2"/>
      <c r="C87" s="2"/>
      <c r="D87" s="2"/>
      <c r="E87" s="12"/>
    </row>
    <row r="88" spans="1:5" x14ac:dyDescent="0.3">
      <c r="A88" s="2"/>
      <c r="B88" s="2"/>
      <c r="C88" s="2"/>
      <c r="D88" s="2"/>
      <c r="E88" s="12"/>
    </row>
    <row r="89" spans="1:5" x14ac:dyDescent="0.3">
      <c r="A89" s="2"/>
      <c r="B89" s="2"/>
      <c r="C89" s="2"/>
      <c r="D89" s="2"/>
      <c r="E89" s="12"/>
    </row>
    <row r="90" spans="1:5" x14ac:dyDescent="0.3">
      <c r="A90" s="2"/>
      <c r="B90" s="2"/>
      <c r="C90" s="2"/>
      <c r="D90" s="2"/>
      <c r="E90" s="12"/>
    </row>
    <row r="91" spans="1:5" x14ac:dyDescent="0.3">
      <c r="A91" s="2"/>
      <c r="B91" s="2"/>
      <c r="C91" s="2"/>
      <c r="D91" s="2"/>
      <c r="E91" s="12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19"/>
  <sheetViews>
    <sheetView topLeftCell="B698" workbookViewId="0">
      <selection activeCell="P702" sqref="P702"/>
    </sheetView>
  </sheetViews>
  <sheetFormatPr defaultRowHeight="14.4" x14ac:dyDescent="0.3"/>
  <cols>
    <col min="1" max="1" width="15.44140625" customWidth="1"/>
    <col min="2" max="2" width="11.6640625" customWidth="1"/>
    <col min="3" max="3" width="14" customWidth="1"/>
    <col min="4" max="4" width="18.77734375" customWidth="1"/>
    <col min="5" max="5" width="14.77734375" customWidth="1"/>
    <col min="6" max="6" width="15.44140625" customWidth="1"/>
    <col min="9" max="9" width="12.5546875" bestFit="1" customWidth="1"/>
    <col min="10" max="10" width="19.5546875" bestFit="1" customWidth="1"/>
    <col min="11" max="11" width="20.21875" bestFit="1" customWidth="1"/>
  </cols>
  <sheetData>
    <row r="1" spans="1:11" x14ac:dyDescent="0.3">
      <c r="A1" s="1" t="s">
        <v>774</v>
      </c>
      <c r="B1" s="1" t="s">
        <v>216</v>
      </c>
      <c r="C1" s="1" t="s">
        <v>672</v>
      </c>
      <c r="D1" s="1" t="s">
        <v>775</v>
      </c>
      <c r="E1" s="1" t="s">
        <v>776</v>
      </c>
      <c r="F1" s="1" t="s">
        <v>777</v>
      </c>
    </row>
    <row r="2" spans="1:11" x14ac:dyDescent="0.3">
      <c r="A2" s="2" t="s">
        <v>778</v>
      </c>
      <c r="B2" s="2" t="s">
        <v>228</v>
      </c>
      <c r="C2" s="2" t="s">
        <v>709</v>
      </c>
      <c r="D2" s="7">
        <v>19.5</v>
      </c>
      <c r="E2" s="2">
        <v>87</v>
      </c>
      <c r="F2" s="2">
        <v>75</v>
      </c>
      <c r="I2" s="9" t="s">
        <v>2079</v>
      </c>
      <c r="J2" s="2" t="s">
        <v>2085</v>
      </c>
      <c r="K2" s="2" t="s">
        <v>2086</v>
      </c>
    </row>
    <row r="3" spans="1:11" x14ac:dyDescent="0.3">
      <c r="A3" s="2" t="s">
        <v>779</v>
      </c>
      <c r="B3" s="2" t="s">
        <v>228</v>
      </c>
      <c r="C3" s="2" t="s">
        <v>707</v>
      </c>
      <c r="D3" s="7">
        <v>22.9</v>
      </c>
      <c r="E3" s="2">
        <v>172</v>
      </c>
      <c r="F3" s="2">
        <v>115</v>
      </c>
      <c r="I3" s="2" t="s">
        <v>677</v>
      </c>
      <c r="J3" s="2">
        <v>2089</v>
      </c>
      <c r="K3" s="2">
        <v>1887</v>
      </c>
    </row>
    <row r="4" spans="1:11" x14ac:dyDescent="0.3">
      <c r="A4" s="2" t="s">
        <v>780</v>
      </c>
      <c r="B4" s="2" t="s">
        <v>228</v>
      </c>
      <c r="C4" s="2" t="s">
        <v>736</v>
      </c>
      <c r="D4" s="7">
        <v>26.4</v>
      </c>
      <c r="E4" s="2">
        <v>84</v>
      </c>
      <c r="F4" s="2">
        <v>180</v>
      </c>
      <c r="I4" s="2" t="s">
        <v>681</v>
      </c>
      <c r="J4" s="2">
        <v>2005</v>
      </c>
      <c r="K4" s="2">
        <v>1572</v>
      </c>
    </row>
    <row r="5" spans="1:11" x14ac:dyDescent="0.3">
      <c r="A5" s="2" t="s">
        <v>781</v>
      </c>
      <c r="B5" s="2" t="s">
        <v>228</v>
      </c>
      <c r="C5" s="2" t="s">
        <v>722</v>
      </c>
      <c r="D5" s="7">
        <v>31.2</v>
      </c>
      <c r="E5" s="2">
        <v>131</v>
      </c>
      <c r="F5" s="2">
        <v>93</v>
      </c>
      <c r="I5" s="2" t="s">
        <v>685</v>
      </c>
      <c r="J5" s="2">
        <v>2256</v>
      </c>
      <c r="K5" s="2">
        <v>1979</v>
      </c>
    </row>
    <row r="6" spans="1:11" x14ac:dyDescent="0.3">
      <c r="A6" s="2" t="s">
        <v>782</v>
      </c>
      <c r="B6" s="2" t="s">
        <v>231</v>
      </c>
      <c r="C6" s="2" t="s">
        <v>734</v>
      </c>
      <c r="D6" s="7">
        <v>35.799999999999997</v>
      </c>
      <c r="E6" s="2">
        <v>169</v>
      </c>
      <c r="F6" s="2">
        <v>68</v>
      </c>
      <c r="I6" s="2" t="s">
        <v>688</v>
      </c>
      <c r="J6" s="2">
        <v>1905</v>
      </c>
      <c r="K6" s="2">
        <v>1659</v>
      </c>
    </row>
    <row r="7" spans="1:11" x14ac:dyDescent="0.3">
      <c r="A7" s="2" t="s">
        <v>783</v>
      </c>
      <c r="B7" s="2" t="s">
        <v>231</v>
      </c>
      <c r="C7" s="2" t="s">
        <v>762</v>
      </c>
      <c r="D7" s="7">
        <v>21.1</v>
      </c>
      <c r="E7" s="2">
        <v>91</v>
      </c>
      <c r="F7" s="2">
        <v>61</v>
      </c>
      <c r="I7" s="2" t="s">
        <v>691</v>
      </c>
      <c r="J7" s="2">
        <v>1213</v>
      </c>
      <c r="K7" s="2">
        <v>1218</v>
      </c>
    </row>
    <row r="8" spans="1:11" x14ac:dyDescent="0.3">
      <c r="A8" s="2" t="s">
        <v>784</v>
      </c>
      <c r="B8" s="2" t="s">
        <v>231</v>
      </c>
      <c r="C8" s="2" t="s">
        <v>742</v>
      </c>
      <c r="D8" s="7">
        <v>43.1</v>
      </c>
      <c r="E8" s="2">
        <v>70</v>
      </c>
      <c r="F8" s="2">
        <v>95</v>
      </c>
      <c r="I8" s="2" t="s">
        <v>693</v>
      </c>
      <c r="J8" s="2">
        <v>2349</v>
      </c>
      <c r="K8" s="2">
        <v>2289</v>
      </c>
    </row>
    <row r="9" spans="1:11" x14ac:dyDescent="0.3">
      <c r="A9" s="2" t="s">
        <v>785</v>
      </c>
      <c r="B9" s="2" t="s">
        <v>234</v>
      </c>
      <c r="C9" s="2" t="s">
        <v>746</v>
      </c>
      <c r="D9" s="7">
        <v>27.8</v>
      </c>
      <c r="E9" s="2">
        <v>92</v>
      </c>
      <c r="F9" s="2">
        <v>83</v>
      </c>
      <c r="I9" s="2" t="s">
        <v>695</v>
      </c>
      <c r="J9" s="2">
        <v>1849</v>
      </c>
      <c r="K9" s="2">
        <v>1796</v>
      </c>
    </row>
    <row r="10" spans="1:11" x14ac:dyDescent="0.3">
      <c r="A10" s="2" t="s">
        <v>786</v>
      </c>
      <c r="B10" s="2" t="s">
        <v>234</v>
      </c>
      <c r="C10" s="2" t="s">
        <v>695</v>
      </c>
      <c r="D10" s="7">
        <v>30.2</v>
      </c>
      <c r="E10" s="2">
        <v>100</v>
      </c>
      <c r="F10" s="2">
        <v>100</v>
      </c>
      <c r="I10" s="2" t="s">
        <v>697</v>
      </c>
      <c r="J10" s="2">
        <v>2011</v>
      </c>
      <c r="K10" s="2">
        <v>1970</v>
      </c>
    </row>
    <row r="11" spans="1:11" x14ac:dyDescent="0.3">
      <c r="A11" s="2" t="s">
        <v>787</v>
      </c>
      <c r="B11" s="2" t="s">
        <v>234</v>
      </c>
      <c r="C11" s="2" t="s">
        <v>716</v>
      </c>
      <c r="D11" s="7">
        <v>42</v>
      </c>
      <c r="E11" s="2">
        <v>106</v>
      </c>
      <c r="F11" s="2">
        <v>131</v>
      </c>
      <c r="I11" s="2" t="s">
        <v>699</v>
      </c>
      <c r="J11" s="2">
        <v>1970</v>
      </c>
      <c r="K11" s="2">
        <v>2070</v>
      </c>
    </row>
    <row r="12" spans="1:11" x14ac:dyDescent="0.3">
      <c r="A12" s="2" t="s">
        <v>788</v>
      </c>
      <c r="B12" s="2" t="s">
        <v>237</v>
      </c>
      <c r="C12" s="2" t="s">
        <v>754</v>
      </c>
      <c r="D12" s="7">
        <v>17.600000000000001</v>
      </c>
      <c r="E12" s="2">
        <v>97</v>
      </c>
      <c r="F12" s="2">
        <v>149</v>
      </c>
      <c r="I12" s="2" t="s">
        <v>701</v>
      </c>
      <c r="J12" s="2">
        <v>2135</v>
      </c>
      <c r="K12" s="2">
        <v>2216</v>
      </c>
    </row>
    <row r="13" spans="1:11" x14ac:dyDescent="0.3">
      <c r="A13" s="2" t="s">
        <v>789</v>
      </c>
      <c r="B13" s="2" t="s">
        <v>237</v>
      </c>
      <c r="C13" s="2" t="s">
        <v>764</v>
      </c>
      <c r="D13" s="7">
        <v>22.2</v>
      </c>
      <c r="E13" s="2">
        <v>176</v>
      </c>
      <c r="F13" s="2">
        <v>121</v>
      </c>
      <c r="I13" s="2" t="s">
        <v>703</v>
      </c>
      <c r="J13" s="2">
        <v>2301</v>
      </c>
      <c r="K13" s="2">
        <v>2159</v>
      </c>
    </row>
    <row r="14" spans="1:11" x14ac:dyDescent="0.3">
      <c r="A14" s="2" t="s">
        <v>790</v>
      </c>
      <c r="B14" s="2" t="s">
        <v>237</v>
      </c>
      <c r="C14" s="2" t="s">
        <v>718</v>
      </c>
      <c r="D14" s="7">
        <v>31.9</v>
      </c>
      <c r="E14" s="2">
        <v>121</v>
      </c>
      <c r="F14" s="2">
        <v>84</v>
      </c>
      <c r="I14" s="2" t="s">
        <v>705</v>
      </c>
      <c r="J14" s="2">
        <v>1537</v>
      </c>
      <c r="K14" s="2">
        <v>1488</v>
      </c>
    </row>
    <row r="15" spans="1:11" x14ac:dyDescent="0.3">
      <c r="A15" s="2" t="s">
        <v>791</v>
      </c>
      <c r="B15" s="2" t="s">
        <v>237</v>
      </c>
      <c r="C15" s="2" t="s">
        <v>770</v>
      </c>
      <c r="D15" s="7">
        <v>28.4</v>
      </c>
      <c r="E15" s="2">
        <v>78</v>
      </c>
      <c r="F15" s="2">
        <v>79</v>
      </c>
      <c r="I15" s="2" t="s">
        <v>707</v>
      </c>
      <c r="J15" s="2">
        <v>1789</v>
      </c>
      <c r="K15" s="2">
        <v>1628</v>
      </c>
    </row>
    <row r="16" spans="1:11" x14ac:dyDescent="0.3">
      <c r="A16" s="2" t="s">
        <v>792</v>
      </c>
      <c r="B16" s="2" t="s">
        <v>239</v>
      </c>
      <c r="C16" s="2" t="s">
        <v>701</v>
      </c>
      <c r="D16" s="7">
        <v>19.600000000000001</v>
      </c>
      <c r="E16" s="2">
        <v>75</v>
      </c>
      <c r="F16" s="2">
        <v>111</v>
      </c>
      <c r="I16" s="2" t="s">
        <v>709</v>
      </c>
      <c r="J16" s="2">
        <v>2247</v>
      </c>
      <c r="K16" s="2">
        <v>2388</v>
      </c>
    </row>
    <row r="17" spans="1:11" x14ac:dyDescent="0.3">
      <c r="A17" s="2" t="s">
        <v>793</v>
      </c>
      <c r="B17" s="2" t="s">
        <v>239</v>
      </c>
      <c r="C17" s="2" t="s">
        <v>681</v>
      </c>
      <c r="D17" s="7">
        <v>17.8</v>
      </c>
      <c r="E17" s="2">
        <v>172</v>
      </c>
      <c r="F17" s="2">
        <v>61</v>
      </c>
      <c r="I17" s="2" t="s">
        <v>712</v>
      </c>
      <c r="J17" s="2">
        <v>2014</v>
      </c>
      <c r="K17" s="2">
        <v>1698</v>
      </c>
    </row>
    <row r="18" spans="1:11" x14ac:dyDescent="0.3">
      <c r="A18" s="2" t="s">
        <v>794</v>
      </c>
      <c r="B18" s="2" t="s">
        <v>239</v>
      </c>
      <c r="C18" s="2" t="s">
        <v>740</v>
      </c>
      <c r="D18" s="7">
        <v>29.2</v>
      </c>
      <c r="E18" s="2">
        <v>94</v>
      </c>
      <c r="F18" s="2">
        <v>60</v>
      </c>
      <c r="I18" s="2" t="s">
        <v>714</v>
      </c>
      <c r="J18" s="2">
        <v>1729</v>
      </c>
      <c r="K18" s="2">
        <v>1828</v>
      </c>
    </row>
    <row r="19" spans="1:11" x14ac:dyDescent="0.3">
      <c r="A19" s="2" t="s">
        <v>795</v>
      </c>
      <c r="B19" s="2" t="s">
        <v>239</v>
      </c>
      <c r="C19" s="2" t="s">
        <v>705</v>
      </c>
      <c r="D19" s="7">
        <v>33.299999999999997</v>
      </c>
      <c r="E19" s="2">
        <v>123</v>
      </c>
      <c r="F19" s="2">
        <v>99</v>
      </c>
      <c r="I19" s="2" t="s">
        <v>716</v>
      </c>
      <c r="J19" s="2">
        <v>1484</v>
      </c>
      <c r="K19" s="2">
        <v>1419</v>
      </c>
    </row>
    <row r="20" spans="1:11" x14ac:dyDescent="0.3">
      <c r="A20" s="2" t="s">
        <v>796</v>
      </c>
      <c r="B20" s="2" t="s">
        <v>241</v>
      </c>
      <c r="C20" s="2" t="s">
        <v>744</v>
      </c>
      <c r="D20" s="7">
        <v>34.799999999999997</v>
      </c>
      <c r="E20" s="2">
        <v>131</v>
      </c>
      <c r="F20" s="2">
        <v>136</v>
      </c>
      <c r="I20" s="2" t="s">
        <v>718</v>
      </c>
      <c r="J20" s="2">
        <v>1775</v>
      </c>
      <c r="K20" s="2">
        <v>1808</v>
      </c>
    </row>
    <row r="21" spans="1:11" x14ac:dyDescent="0.3">
      <c r="A21" s="2" t="s">
        <v>797</v>
      </c>
      <c r="B21" s="2" t="s">
        <v>241</v>
      </c>
      <c r="C21" s="2" t="s">
        <v>718</v>
      </c>
      <c r="D21" s="7">
        <v>42.7</v>
      </c>
      <c r="E21" s="2">
        <v>97</v>
      </c>
      <c r="F21" s="2">
        <v>55</v>
      </c>
      <c r="I21" s="2" t="s">
        <v>720</v>
      </c>
      <c r="J21" s="2">
        <v>1432</v>
      </c>
      <c r="K21" s="2">
        <v>1343</v>
      </c>
    </row>
    <row r="22" spans="1:11" x14ac:dyDescent="0.3">
      <c r="A22" s="2" t="s">
        <v>798</v>
      </c>
      <c r="B22" s="2" t="s">
        <v>241</v>
      </c>
      <c r="C22" s="2" t="s">
        <v>701</v>
      </c>
      <c r="D22" s="7">
        <v>22.5</v>
      </c>
      <c r="E22" s="2">
        <v>145</v>
      </c>
      <c r="F22" s="2">
        <v>110</v>
      </c>
      <c r="I22" s="2" t="s">
        <v>722</v>
      </c>
      <c r="J22" s="2">
        <v>1794</v>
      </c>
      <c r="K22" s="2">
        <v>1569</v>
      </c>
    </row>
    <row r="23" spans="1:11" x14ac:dyDescent="0.3">
      <c r="A23" s="2" t="s">
        <v>799</v>
      </c>
      <c r="B23" s="2" t="s">
        <v>243</v>
      </c>
      <c r="C23" s="2" t="s">
        <v>681</v>
      </c>
      <c r="D23" s="7">
        <v>39</v>
      </c>
      <c r="E23" s="2">
        <v>99</v>
      </c>
      <c r="F23" s="2">
        <v>157</v>
      </c>
      <c r="I23" s="2" t="s">
        <v>724</v>
      </c>
      <c r="J23" s="2">
        <v>2230</v>
      </c>
      <c r="K23" s="2">
        <v>1903</v>
      </c>
    </row>
    <row r="24" spans="1:11" x14ac:dyDescent="0.3">
      <c r="A24" s="2" t="s">
        <v>800</v>
      </c>
      <c r="B24" s="2" t="s">
        <v>243</v>
      </c>
      <c r="C24" s="2" t="s">
        <v>688</v>
      </c>
      <c r="D24" s="7">
        <v>38.700000000000003</v>
      </c>
      <c r="E24" s="2">
        <v>78</v>
      </c>
      <c r="F24" s="2">
        <v>125</v>
      </c>
      <c r="I24" s="2" t="s">
        <v>726</v>
      </c>
      <c r="J24" s="2">
        <v>1886</v>
      </c>
      <c r="K24" s="2">
        <v>1873</v>
      </c>
    </row>
    <row r="25" spans="1:11" x14ac:dyDescent="0.3">
      <c r="A25" s="2" t="s">
        <v>801</v>
      </c>
      <c r="B25" s="2" t="s">
        <v>243</v>
      </c>
      <c r="C25" s="2" t="s">
        <v>744</v>
      </c>
      <c r="D25" s="7">
        <v>22.3</v>
      </c>
      <c r="E25" s="2">
        <v>131</v>
      </c>
      <c r="F25" s="2">
        <v>158</v>
      </c>
      <c r="I25" s="2" t="s">
        <v>728</v>
      </c>
      <c r="J25" s="2">
        <v>1156</v>
      </c>
      <c r="K25" s="2">
        <v>1376</v>
      </c>
    </row>
    <row r="26" spans="1:11" x14ac:dyDescent="0.3">
      <c r="A26" s="2" t="s">
        <v>802</v>
      </c>
      <c r="B26" s="2" t="s">
        <v>245</v>
      </c>
      <c r="C26" s="2" t="s">
        <v>770</v>
      </c>
      <c r="D26" s="7">
        <v>46.7</v>
      </c>
      <c r="E26" s="2">
        <v>152</v>
      </c>
      <c r="F26" s="2">
        <v>180</v>
      </c>
      <c r="I26" s="2" t="s">
        <v>730</v>
      </c>
      <c r="J26" s="2">
        <v>1889</v>
      </c>
      <c r="K26" s="2">
        <v>1828</v>
      </c>
    </row>
    <row r="27" spans="1:11" x14ac:dyDescent="0.3">
      <c r="A27" s="2" t="s">
        <v>803</v>
      </c>
      <c r="B27" s="2" t="s">
        <v>245</v>
      </c>
      <c r="C27" s="2" t="s">
        <v>709</v>
      </c>
      <c r="D27" s="7">
        <v>31.2</v>
      </c>
      <c r="E27" s="2">
        <v>75</v>
      </c>
      <c r="F27" s="2">
        <v>143</v>
      </c>
      <c r="I27" s="2" t="s">
        <v>732</v>
      </c>
      <c r="J27" s="2">
        <v>2097</v>
      </c>
      <c r="K27" s="2">
        <v>1909</v>
      </c>
    </row>
    <row r="28" spans="1:11" x14ac:dyDescent="0.3">
      <c r="A28" s="2" t="s">
        <v>804</v>
      </c>
      <c r="B28" s="2" t="s">
        <v>245</v>
      </c>
      <c r="C28" s="2" t="s">
        <v>766</v>
      </c>
      <c r="D28" s="7">
        <v>22.1</v>
      </c>
      <c r="E28" s="2">
        <v>99</v>
      </c>
      <c r="F28" s="2">
        <v>51</v>
      </c>
      <c r="I28" s="2" t="s">
        <v>734</v>
      </c>
      <c r="J28" s="2">
        <v>1821</v>
      </c>
      <c r="K28" s="2">
        <v>1572</v>
      </c>
    </row>
    <row r="29" spans="1:11" x14ac:dyDescent="0.3">
      <c r="A29" s="2" t="s">
        <v>805</v>
      </c>
      <c r="B29" s="2" t="s">
        <v>247</v>
      </c>
      <c r="C29" s="2" t="s">
        <v>691</v>
      </c>
      <c r="D29" s="7">
        <v>57</v>
      </c>
      <c r="E29" s="2">
        <v>115</v>
      </c>
      <c r="F29" s="2">
        <v>114</v>
      </c>
      <c r="I29" s="2" t="s">
        <v>736</v>
      </c>
      <c r="J29" s="2">
        <v>2420</v>
      </c>
      <c r="K29" s="2">
        <v>2300</v>
      </c>
    </row>
    <row r="30" spans="1:11" x14ac:dyDescent="0.3">
      <c r="A30" s="2" t="s">
        <v>806</v>
      </c>
      <c r="B30" s="2" t="s">
        <v>247</v>
      </c>
      <c r="C30" s="2" t="s">
        <v>740</v>
      </c>
      <c r="D30" s="7">
        <v>43</v>
      </c>
      <c r="E30" s="2">
        <v>124</v>
      </c>
      <c r="F30" s="2">
        <v>96</v>
      </c>
      <c r="I30" s="2" t="s">
        <v>738</v>
      </c>
      <c r="J30" s="2">
        <v>1775</v>
      </c>
      <c r="K30" s="2">
        <v>1404</v>
      </c>
    </row>
    <row r="31" spans="1:11" x14ac:dyDescent="0.3">
      <c r="A31" s="2" t="s">
        <v>807</v>
      </c>
      <c r="B31" s="2" t="s">
        <v>249</v>
      </c>
      <c r="C31" s="2" t="s">
        <v>699</v>
      </c>
      <c r="D31" s="7">
        <v>39.299999999999997</v>
      </c>
      <c r="E31" s="2">
        <v>118</v>
      </c>
      <c r="F31" s="2">
        <v>175</v>
      </c>
      <c r="I31" s="2" t="s">
        <v>740</v>
      </c>
      <c r="J31" s="2">
        <v>2223</v>
      </c>
      <c r="K31" s="2">
        <v>1991</v>
      </c>
    </row>
    <row r="32" spans="1:11" x14ac:dyDescent="0.3">
      <c r="A32" s="2" t="s">
        <v>808</v>
      </c>
      <c r="B32" s="2" t="s">
        <v>249</v>
      </c>
      <c r="C32" s="2" t="s">
        <v>754</v>
      </c>
      <c r="D32" s="7">
        <v>60.7</v>
      </c>
      <c r="E32" s="2">
        <v>175</v>
      </c>
      <c r="F32" s="2">
        <v>158</v>
      </c>
      <c r="I32" s="2" t="s">
        <v>742</v>
      </c>
      <c r="J32" s="2">
        <v>2795</v>
      </c>
      <c r="K32" s="2">
        <v>2788</v>
      </c>
    </row>
    <row r="33" spans="1:11" x14ac:dyDescent="0.3">
      <c r="A33" s="2" t="s">
        <v>809</v>
      </c>
      <c r="B33" s="2" t="s">
        <v>251</v>
      </c>
      <c r="C33" s="2" t="s">
        <v>716</v>
      </c>
      <c r="D33" s="7">
        <v>21.8</v>
      </c>
      <c r="E33" s="2">
        <v>123</v>
      </c>
      <c r="F33" s="2">
        <v>140</v>
      </c>
      <c r="I33" s="2" t="s">
        <v>744</v>
      </c>
      <c r="J33" s="2">
        <v>1745</v>
      </c>
      <c r="K33" s="2">
        <v>1748</v>
      </c>
    </row>
    <row r="34" spans="1:11" x14ac:dyDescent="0.3">
      <c r="A34" s="2" t="s">
        <v>810</v>
      </c>
      <c r="B34" s="2" t="s">
        <v>251</v>
      </c>
      <c r="C34" s="2" t="s">
        <v>734</v>
      </c>
      <c r="D34" s="7">
        <v>16</v>
      </c>
      <c r="E34" s="2">
        <v>176</v>
      </c>
      <c r="F34" s="2">
        <v>147</v>
      </c>
      <c r="I34" s="2" t="s">
        <v>746</v>
      </c>
      <c r="J34" s="2">
        <v>2278</v>
      </c>
      <c r="K34" s="2">
        <v>1991</v>
      </c>
    </row>
    <row r="35" spans="1:11" x14ac:dyDescent="0.3">
      <c r="A35" s="2" t="s">
        <v>811</v>
      </c>
      <c r="B35" s="2" t="s">
        <v>251</v>
      </c>
      <c r="C35" s="2" t="s">
        <v>701</v>
      </c>
      <c r="D35" s="7">
        <v>19</v>
      </c>
      <c r="E35" s="2">
        <v>70</v>
      </c>
      <c r="F35" s="2">
        <v>103</v>
      </c>
      <c r="I35" s="2" t="s">
        <v>748</v>
      </c>
      <c r="J35" s="2">
        <v>1201</v>
      </c>
      <c r="K35" s="2">
        <v>1088</v>
      </c>
    </row>
    <row r="36" spans="1:11" x14ac:dyDescent="0.3">
      <c r="A36" s="2" t="s">
        <v>812</v>
      </c>
      <c r="B36" s="2" t="s">
        <v>251</v>
      </c>
      <c r="C36" s="2" t="s">
        <v>699</v>
      </c>
      <c r="D36" s="7">
        <v>23.8</v>
      </c>
      <c r="E36" s="2">
        <v>104</v>
      </c>
      <c r="F36" s="2">
        <v>96</v>
      </c>
      <c r="I36" s="2" t="s">
        <v>750</v>
      </c>
      <c r="J36" s="2">
        <v>1019</v>
      </c>
      <c r="K36" s="2">
        <v>1220</v>
      </c>
    </row>
    <row r="37" spans="1:11" x14ac:dyDescent="0.3">
      <c r="A37" s="2" t="s">
        <v>813</v>
      </c>
      <c r="B37" s="2" t="s">
        <v>251</v>
      </c>
      <c r="C37" s="2" t="s">
        <v>768</v>
      </c>
      <c r="D37" s="7">
        <v>19.5</v>
      </c>
      <c r="E37" s="2">
        <v>71</v>
      </c>
      <c r="F37" s="2">
        <v>54</v>
      </c>
      <c r="I37" s="2" t="s">
        <v>752</v>
      </c>
      <c r="J37" s="2">
        <v>2209</v>
      </c>
      <c r="K37" s="2">
        <v>2101</v>
      </c>
    </row>
    <row r="38" spans="1:11" x14ac:dyDescent="0.3">
      <c r="A38" s="2" t="s">
        <v>814</v>
      </c>
      <c r="B38" s="2" t="s">
        <v>253</v>
      </c>
      <c r="C38" s="2" t="s">
        <v>681</v>
      </c>
      <c r="D38" s="7">
        <v>23.3</v>
      </c>
      <c r="E38" s="2">
        <v>173</v>
      </c>
      <c r="F38" s="2">
        <v>71</v>
      </c>
      <c r="I38" s="2" t="s">
        <v>754</v>
      </c>
      <c r="J38" s="2">
        <v>2526</v>
      </c>
      <c r="K38" s="2">
        <v>2678</v>
      </c>
    </row>
    <row r="39" spans="1:11" x14ac:dyDescent="0.3">
      <c r="A39" s="2" t="s">
        <v>815</v>
      </c>
      <c r="B39" s="2" t="s">
        <v>253</v>
      </c>
      <c r="C39" s="2" t="s">
        <v>740</v>
      </c>
      <c r="D39" s="7">
        <v>26.4</v>
      </c>
      <c r="E39" s="2">
        <v>152</v>
      </c>
      <c r="F39" s="2">
        <v>116</v>
      </c>
      <c r="I39" s="2" t="s">
        <v>756</v>
      </c>
      <c r="J39" s="2">
        <v>1301</v>
      </c>
      <c r="K39" s="2">
        <v>1498</v>
      </c>
    </row>
    <row r="40" spans="1:11" x14ac:dyDescent="0.3">
      <c r="A40" s="2" t="s">
        <v>816</v>
      </c>
      <c r="B40" s="2" t="s">
        <v>253</v>
      </c>
      <c r="C40" s="2" t="s">
        <v>714</v>
      </c>
      <c r="D40" s="7">
        <v>19.8</v>
      </c>
      <c r="E40" s="2">
        <v>113</v>
      </c>
      <c r="F40" s="2">
        <v>91</v>
      </c>
      <c r="I40" s="2" t="s">
        <v>758</v>
      </c>
      <c r="J40" s="2">
        <v>1218</v>
      </c>
      <c r="K40" s="2">
        <v>1268</v>
      </c>
    </row>
    <row r="41" spans="1:11" x14ac:dyDescent="0.3">
      <c r="A41" s="2" t="s">
        <v>817</v>
      </c>
      <c r="B41" s="2" t="s">
        <v>253</v>
      </c>
      <c r="C41" s="2" t="s">
        <v>691</v>
      </c>
      <c r="D41" s="7">
        <v>30.5</v>
      </c>
      <c r="E41" s="2">
        <v>123</v>
      </c>
      <c r="F41" s="2">
        <v>175</v>
      </c>
      <c r="I41" s="2" t="s">
        <v>760</v>
      </c>
      <c r="J41" s="2">
        <v>1818</v>
      </c>
      <c r="K41" s="2">
        <v>1492</v>
      </c>
    </row>
    <row r="42" spans="1:11" x14ac:dyDescent="0.3">
      <c r="A42" s="2" t="s">
        <v>818</v>
      </c>
      <c r="B42" s="2" t="s">
        <v>255</v>
      </c>
      <c r="C42" s="2" t="s">
        <v>772</v>
      </c>
      <c r="D42" s="7">
        <v>29.3</v>
      </c>
      <c r="E42" s="2">
        <v>142</v>
      </c>
      <c r="F42" s="2">
        <v>172</v>
      </c>
      <c r="I42" s="2" t="s">
        <v>762</v>
      </c>
      <c r="J42" s="2">
        <v>2919</v>
      </c>
      <c r="K42" s="2">
        <v>2292</v>
      </c>
    </row>
    <row r="43" spans="1:11" x14ac:dyDescent="0.3">
      <c r="A43" s="2" t="s">
        <v>819</v>
      </c>
      <c r="B43" s="2" t="s">
        <v>255</v>
      </c>
      <c r="C43" s="2" t="s">
        <v>703</v>
      </c>
      <c r="D43" s="7">
        <v>32.799999999999997</v>
      </c>
      <c r="E43" s="2">
        <v>161</v>
      </c>
      <c r="F43" s="2">
        <v>65</v>
      </c>
      <c r="I43" s="2" t="s">
        <v>764</v>
      </c>
      <c r="J43" s="2">
        <v>2224</v>
      </c>
      <c r="K43" s="2">
        <v>2179</v>
      </c>
    </row>
    <row r="44" spans="1:11" x14ac:dyDescent="0.3">
      <c r="A44" s="2" t="s">
        <v>820</v>
      </c>
      <c r="B44" s="2" t="s">
        <v>255</v>
      </c>
      <c r="C44" s="2" t="s">
        <v>722</v>
      </c>
      <c r="D44" s="7">
        <v>37.9</v>
      </c>
      <c r="E44" s="2">
        <v>125</v>
      </c>
      <c r="F44" s="2">
        <v>168</v>
      </c>
      <c r="I44" s="2" t="s">
        <v>766</v>
      </c>
      <c r="J44" s="2">
        <v>2193</v>
      </c>
      <c r="K44" s="2">
        <v>2244</v>
      </c>
    </row>
    <row r="45" spans="1:11" x14ac:dyDescent="0.3">
      <c r="A45" s="2" t="s">
        <v>821</v>
      </c>
      <c r="B45" s="2" t="s">
        <v>257</v>
      </c>
      <c r="C45" s="2" t="s">
        <v>722</v>
      </c>
      <c r="D45" s="7">
        <v>18.399999999999999</v>
      </c>
      <c r="E45" s="2">
        <v>93</v>
      </c>
      <c r="F45" s="2">
        <v>131</v>
      </c>
      <c r="I45" s="2" t="s">
        <v>768</v>
      </c>
      <c r="J45" s="2">
        <v>1398</v>
      </c>
      <c r="K45" s="2">
        <v>1160</v>
      </c>
    </row>
    <row r="46" spans="1:11" x14ac:dyDescent="0.3">
      <c r="A46" s="2" t="s">
        <v>822</v>
      </c>
      <c r="B46" s="2" t="s">
        <v>257</v>
      </c>
      <c r="C46" s="2" t="s">
        <v>712</v>
      </c>
      <c r="D46" s="7">
        <v>19.5</v>
      </c>
      <c r="E46" s="2">
        <v>179</v>
      </c>
      <c r="F46" s="2">
        <v>147</v>
      </c>
      <c r="I46" s="2" t="s">
        <v>770</v>
      </c>
      <c r="J46" s="2">
        <v>1701</v>
      </c>
      <c r="K46" s="2">
        <v>1800</v>
      </c>
    </row>
    <row r="47" spans="1:11" x14ac:dyDescent="0.3">
      <c r="A47" s="2" t="s">
        <v>823</v>
      </c>
      <c r="B47" s="2" t="s">
        <v>257</v>
      </c>
      <c r="C47" s="2" t="s">
        <v>756</v>
      </c>
      <c r="D47" s="7">
        <v>24.7</v>
      </c>
      <c r="E47" s="2">
        <v>134</v>
      </c>
      <c r="F47" s="2">
        <v>154</v>
      </c>
      <c r="I47" s="2" t="s">
        <v>772</v>
      </c>
      <c r="J47" s="2">
        <v>1852</v>
      </c>
      <c r="K47" s="2">
        <v>1940</v>
      </c>
    </row>
    <row r="48" spans="1:11" x14ac:dyDescent="0.3">
      <c r="A48" s="2" t="s">
        <v>824</v>
      </c>
      <c r="B48" s="2" t="s">
        <v>257</v>
      </c>
      <c r="C48" s="2" t="s">
        <v>748</v>
      </c>
      <c r="D48" s="7">
        <v>37.5</v>
      </c>
      <c r="E48" s="2">
        <v>135</v>
      </c>
      <c r="F48" s="2">
        <v>98</v>
      </c>
      <c r="I48" s="2" t="s">
        <v>2080</v>
      </c>
      <c r="J48" s="2">
        <v>85778</v>
      </c>
      <c r="K48" s="2">
        <v>81627</v>
      </c>
    </row>
    <row r="49" spans="1:6" x14ac:dyDescent="0.3">
      <c r="A49" s="2" t="s">
        <v>825</v>
      </c>
      <c r="B49" s="2" t="s">
        <v>259</v>
      </c>
      <c r="C49" s="2" t="s">
        <v>724</v>
      </c>
      <c r="D49" s="7">
        <v>39.4</v>
      </c>
      <c r="E49" s="2">
        <v>82</v>
      </c>
      <c r="F49" s="2">
        <v>62</v>
      </c>
    </row>
    <row r="50" spans="1:6" x14ac:dyDescent="0.3">
      <c r="A50" s="2" t="s">
        <v>826</v>
      </c>
      <c r="B50" s="2" t="s">
        <v>259</v>
      </c>
      <c r="C50" s="2" t="s">
        <v>754</v>
      </c>
      <c r="D50" s="7">
        <v>23.9</v>
      </c>
      <c r="E50" s="2">
        <v>160</v>
      </c>
      <c r="F50" s="2">
        <v>73</v>
      </c>
    </row>
    <row r="51" spans="1:6" x14ac:dyDescent="0.3">
      <c r="A51" s="2" t="s">
        <v>827</v>
      </c>
      <c r="B51" s="2" t="s">
        <v>259</v>
      </c>
      <c r="C51" s="2" t="s">
        <v>701</v>
      </c>
      <c r="D51" s="7">
        <v>36.700000000000003</v>
      </c>
      <c r="E51" s="2">
        <v>167</v>
      </c>
      <c r="F51" s="2">
        <v>60</v>
      </c>
    </row>
    <row r="52" spans="1:6" x14ac:dyDescent="0.3">
      <c r="A52" s="2" t="s">
        <v>828</v>
      </c>
      <c r="B52" s="2" t="s">
        <v>261</v>
      </c>
      <c r="C52" s="2" t="s">
        <v>748</v>
      </c>
      <c r="D52" s="7">
        <v>20.8</v>
      </c>
      <c r="E52" s="2">
        <v>124</v>
      </c>
      <c r="F52" s="2">
        <v>149</v>
      </c>
    </row>
    <row r="53" spans="1:6" x14ac:dyDescent="0.3">
      <c r="A53" s="2" t="s">
        <v>829</v>
      </c>
      <c r="B53" s="2" t="s">
        <v>261</v>
      </c>
      <c r="C53" s="2" t="s">
        <v>728</v>
      </c>
      <c r="D53" s="7">
        <v>16.100000000000001</v>
      </c>
      <c r="E53" s="2">
        <v>80</v>
      </c>
      <c r="F53" s="2">
        <v>62</v>
      </c>
    </row>
    <row r="54" spans="1:6" x14ac:dyDescent="0.3">
      <c r="A54" s="2" t="s">
        <v>830</v>
      </c>
      <c r="B54" s="2" t="s">
        <v>261</v>
      </c>
      <c r="C54" s="2" t="s">
        <v>730</v>
      </c>
      <c r="D54" s="7">
        <v>17.5</v>
      </c>
      <c r="E54" s="2">
        <v>116</v>
      </c>
      <c r="F54" s="2">
        <v>98</v>
      </c>
    </row>
    <row r="55" spans="1:6" x14ac:dyDescent="0.3">
      <c r="A55" s="2" t="s">
        <v>831</v>
      </c>
      <c r="B55" s="2" t="s">
        <v>261</v>
      </c>
      <c r="C55" s="2" t="s">
        <v>746</v>
      </c>
      <c r="D55" s="7">
        <v>22.8</v>
      </c>
      <c r="E55" s="2">
        <v>177</v>
      </c>
      <c r="F55" s="2">
        <v>103</v>
      </c>
    </row>
    <row r="56" spans="1:6" x14ac:dyDescent="0.3">
      <c r="A56" s="2" t="s">
        <v>832</v>
      </c>
      <c r="B56" s="2" t="s">
        <v>261</v>
      </c>
      <c r="C56" s="2" t="s">
        <v>772</v>
      </c>
      <c r="D56" s="7">
        <v>22.8</v>
      </c>
      <c r="E56" s="2">
        <v>69</v>
      </c>
      <c r="F56" s="2">
        <v>102</v>
      </c>
    </row>
    <row r="57" spans="1:6" x14ac:dyDescent="0.3">
      <c r="A57" s="2" t="s">
        <v>833</v>
      </c>
      <c r="B57" s="2" t="s">
        <v>263</v>
      </c>
      <c r="C57" s="2" t="s">
        <v>718</v>
      </c>
      <c r="D57" s="7">
        <v>39.1</v>
      </c>
      <c r="E57" s="2">
        <v>71</v>
      </c>
      <c r="F57" s="2">
        <v>65</v>
      </c>
    </row>
    <row r="58" spans="1:6" x14ac:dyDescent="0.3">
      <c r="A58" s="2" t="s">
        <v>834</v>
      </c>
      <c r="B58" s="2" t="s">
        <v>263</v>
      </c>
      <c r="C58" s="2" t="s">
        <v>748</v>
      </c>
      <c r="D58" s="7">
        <v>22.1</v>
      </c>
      <c r="E58" s="2">
        <v>139</v>
      </c>
      <c r="F58" s="2">
        <v>92</v>
      </c>
    </row>
    <row r="59" spans="1:6" x14ac:dyDescent="0.3">
      <c r="A59" s="2" t="s">
        <v>835</v>
      </c>
      <c r="B59" s="2" t="s">
        <v>263</v>
      </c>
      <c r="C59" s="2" t="s">
        <v>734</v>
      </c>
      <c r="D59" s="7">
        <v>38.799999999999997</v>
      </c>
      <c r="E59" s="2">
        <v>176</v>
      </c>
      <c r="F59" s="2">
        <v>160</v>
      </c>
    </row>
    <row r="60" spans="1:6" x14ac:dyDescent="0.3">
      <c r="A60" s="2" t="s">
        <v>836</v>
      </c>
      <c r="B60" s="2" t="s">
        <v>265</v>
      </c>
      <c r="C60" s="2" t="s">
        <v>762</v>
      </c>
      <c r="D60" s="7">
        <v>27.3</v>
      </c>
      <c r="E60" s="2">
        <v>166</v>
      </c>
      <c r="F60" s="2">
        <v>114</v>
      </c>
    </row>
    <row r="61" spans="1:6" x14ac:dyDescent="0.3">
      <c r="A61" s="2" t="s">
        <v>837</v>
      </c>
      <c r="B61" s="2" t="s">
        <v>265</v>
      </c>
      <c r="C61" s="2" t="s">
        <v>736</v>
      </c>
      <c r="D61" s="7">
        <v>26.5</v>
      </c>
      <c r="E61" s="2">
        <v>108</v>
      </c>
      <c r="F61" s="2">
        <v>101</v>
      </c>
    </row>
    <row r="62" spans="1:6" x14ac:dyDescent="0.3">
      <c r="A62" s="2" t="s">
        <v>838</v>
      </c>
      <c r="B62" s="2" t="s">
        <v>265</v>
      </c>
      <c r="C62" s="2" t="s">
        <v>714</v>
      </c>
      <c r="D62" s="7">
        <v>18.2</v>
      </c>
      <c r="E62" s="2">
        <v>161</v>
      </c>
      <c r="F62" s="2">
        <v>106</v>
      </c>
    </row>
    <row r="63" spans="1:6" x14ac:dyDescent="0.3">
      <c r="A63" s="2" t="s">
        <v>839</v>
      </c>
      <c r="B63" s="2" t="s">
        <v>265</v>
      </c>
      <c r="C63" s="2" t="s">
        <v>693</v>
      </c>
      <c r="D63" s="7">
        <v>28</v>
      </c>
      <c r="E63" s="2">
        <v>106</v>
      </c>
      <c r="F63" s="2">
        <v>75</v>
      </c>
    </row>
    <row r="64" spans="1:6" x14ac:dyDescent="0.3">
      <c r="A64" s="2" t="s">
        <v>840</v>
      </c>
      <c r="B64" s="2" t="s">
        <v>267</v>
      </c>
      <c r="C64" s="2" t="s">
        <v>740</v>
      </c>
      <c r="D64" s="7">
        <v>47.6</v>
      </c>
      <c r="E64" s="2">
        <v>78</v>
      </c>
      <c r="F64" s="2">
        <v>104</v>
      </c>
    </row>
    <row r="65" spans="1:6" x14ac:dyDescent="0.3">
      <c r="A65" s="2" t="s">
        <v>841</v>
      </c>
      <c r="B65" s="2" t="s">
        <v>267</v>
      </c>
      <c r="C65" s="2" t="s">
        <v>695</v>
      </c>
      <c r="D65" s="7">
        <v>52.4</v>
      </c>
      <c r="E65" s="2">
        <v>161</v>
      </c>
      <c r="F65" s="2">
        <v>167</v>
      </c>
    </row>
    <row r="66" spans="1:6" x14ac:dyDescent="0.3">
      <c r="A66" s="2" t="s">
        <v>842</v>
      </c>
      <c r="B66" s="2" t="s">
        <v>269</v>
      </c>
      <c r="C66" s="2" t="s">
        <v>732</v>
      </c>
      <c r="D66" s="7">
        <v>63.6</v>
      </c>
      <c r="E66" s="2">
        <v>104</v>
      </c>
      <c r="F66" s="2">
        <v>59</v>
      </c>
    </row>
    <row r="67" spans="1:6" x14ac:dyDescent="0.3">
      <c r="A67" s="2" t="s">
        <v>843</v>
      </c>
      <c r="B67" s="2" t="s">
        <v>269</v>
      </c>
      <c r="C67" s="2" t="s">
        <v>734</v>
      </c>
      <c r="D67" s="7">
        <v>36.4</v>
      </c>
      <c r="E67" s="2">
        <v>159</v>
      </c>
      <c r="F67" s="2">
        <v>58</v>
      </c>
    </row>
    <row r="68" spans="1:6" x14ac:dyDescent="0.3">
      <c r="A68" s="2" t="s">
        <v>844</v>
      </c>
      <c r="B68" s="2" t="s">
        <v>271</v>
      </c>
      <c r="C68" s="2" t="s">
        <v>726</v>
      </c>
      <c r="D68" s="7">
        <v>57.9</v>
      </c>
      <c r="E68" s="2">
        <v>158</v>
      </c>
      <c r="F68" s="2">
        <v>125</v>
      </c>
    </row>
    <row r="69" spans="1:6" x14ac:dyDescent="0.3">
      <c r="A69" s="2" t="s">
        <v>845</v>
      </c>
      <c r="B69" s="2" t="s">
        <v>271</v>
      </c>
      <c r="C69" s="2" t="s">
        <v>766</v>
      </c>
      <c r="D69" s="7">
        <v>42.1</v>
      </c>
      <c r="E69" s="2">
        <v>85</v>
      </c>
      <c r="F69" s="2">
        <v>164</v>
      </c>
    </row>
    <row r="70" spans="1:6" x14ac:dyDescent="0.3">
      <c r="A70" s="2" t="s">
        <v>846</v>
      </c>
      <c r="B70" s="2" t="s">
        <v>273</v>
      </c>
      <c r="C70" s="2" t="s">
        <v>746</v>
      </c>
      <c r="D70" s="7">
        <v>25.5</v>
      </c>
      <c r="E70" s="2">
        <v>121</v>
      </c>
      <c r="F70" s="2">
        <v>106</v>
      </c>
    </row>
    <row r="71" spans="1:6" x14ac:dyDescent="0.3">
      <c r="A71" s="2" t="s">
        <v>847</v>
      </c>
      <c r="B71" s="2" t="s">
        <v>273</v>
      </c>
      <c r="C71" s="2" t="s">
        <v>738</v>
      </c>
      <c r="D71" s="7">
        <v>39.799999999999997</v>
      </c>
      <c r="E71" s="2">
        <v>180</v>
      </c>
      <c r="F71" s="2">
        <v>103</v>
      </c>
    </row>
    <row r="72" spans="1:6" x14ac:dyDescent="0.3">
      <c r="A72" s="2" t="s">
        <v>848</v>
      </c>
      <c r="B72" s="2" t="s">
        <v>273</v>
      </c>
      <c r="C72" s="2" t="s">
        <v>766</v>
      </c>
      <c r="D72" s="7">
        <v>34.799999999999997</v>
      </c>
      <c r="E72" s="2">
        <v>129</v>
      </c>
      <c r="F72" s="2">
        <v>150</v>
      </c>
    </row>
    <row r="73" spans="1:6" x14ac:dyDescent="0.3">
      <c r="A73" s="2" t="s">
        <v>849</v>
      </c>
      <c r="B73" s="2" t="s">
        <v>275</v>
      </c>
      <c r="C73" s="2" t="s">
        <v>693</v>
      </c>
      <c r="D73" s="7">
        <v>18.3</v>
      </c>
      <c r="E73" s="2">
        <v>95</v>
      </c>
      <c r="F73" s="2">
        <v>130</v>
      </c>
    </row>
    <row r="74" spans="1:6" x14ac:dyDescent="0.3">
      <c r="A74" s="2" t="s">
        <v>850</v>
      </c>
      <c r="B74" s="2" t="s">
        <v>275</v>
      </c>
      <c r="C74" s="2" t="s">
        <v>764</v>
      </c>
      <c r="D74" s="7">
        <v>28.4</v>
      </c>
      <c r="E74" s="2">
        <v>164</v>
      </c>
      <c r="F74" s="2">
        <v>176</v>
      </c>
    </row>
    <row r="75" spans="1:6" x14ac:dyDescent="0.3">
      <c r="A75" s="2" t="s">
        <v>851</v>
      </c>
      <c r="B75" s="2" t="s">
        <v>275</v>
      </c>
      <c r="C75" s="2" t="s">
        <v>754</v>
      </c>
      <c r="D75" s="7">
        <v>28</v>
      </c>
      <c r="E75" s="2">
        <v>147</v>
      </c>
      <c r="F75" s="2">
        <v>153</v>
      </c>
    </row>
    <row r="76" spans="1:6" x14ac:dyDescent="0.3">
      <c r="A76" s="2" t="s">
        <v>852</v>
      </c>
      <c r="B76" s="2" t="s">
        <v>275</v>
      </c>
      <c r="C76" s="2" t="s">
        <v>740</v>
      </c>
      <c r="D76" s="7">
        <v>25.2</v>
      </c>
      <c r="E76" s="2">
        <v>74</v>
      </c>
      <c r="F76" s="2">
        <v>145</v>
      </c>
    </row>
    <row r="77" spans="1:6" x14ac:dyDescent="0.3">
      <c r="A77" s="2" t="s">
        <v>853</v>
      </c>
      <c r="B77" s="2" t="s">
        <v>277</v>
      </c>
      <c r="C77" s="2" t="s">
        <v>752</v>
      </c>
      <c r="D77" s="7">
        <v>52.2</v>
      </c>
      <c r="E77" s="2">
        <v>142</v>
      </c>
      <c r="F77" s="2">
        <v>76</v>
      </c>
    </row>
    <row r="78" spans="1:6" x14ac:dyDescent="0.3">
      <c r="A78" s="2" t="s">
        <v>854</v>
      </c>
      <c r="B78" s="2" t="s">
        <v>277</v>
      </c>
      <c r="C78" s="2" t="s">
        <v>758</v>
      </c>
      <c r="D78" s="7">
        <v>47.8</v>
      </c>
      <c r="E78" s="2">
        <v>139</v>
      </c>
      <c r="F78" s="2">
        <v>62</v>
      </c>
    </row>
    <row r="79" spans="1:6" x14ac:dyDescent="0.3">
      <c r="A79" s="2" t="s">
        <v>855</v>
      </c>
      <c r="B79" s="2" t="s">
        <v>279</v>
      </c>
      <c r="C79" s="2" t="s">
        <v>738</v>
      </c>
      <c r="D79" s="7">
        <v>22.8</v>
      </c>
      <c r="E79" s="2">
        <v>145</v>
      </c>
      <c r="F79" s="2">
        <v>172</v>
      </c>
    </row>
    <row r="80" spans="1:6" x14ac:dyDescent="0.3">
      <c r="A80" s="2" t="s">
        <v>856</v>
      </c>
      <c r="B80" s="2" t="s">
        <v>279</v>
      </c>
      <c r="C80" s="2" t="s">
        <v>746</v>
      </c>
      <c r="D80" s="7">
        <v>17.8</v>
      </c>
      <c r="E80" s="2">
        <v>125</v>
      </c>
      <c r="F80" s="2">
        <v>96</v>
      </c>
    </row>
    <row r="81" spans="1:6" x14ac:dyDescent="0.3">
      <c r="A81" s="2" t="s">
        <v>857</v>
      </c>
      <c r="B81" s="2" t="s">
        <v>279</v>
      </c>
      <c r="C81" s="2" t="s">
        <v>699</v>
      </c>
      <c r="D81" s="7">
        <v>23.4</v>
      </c>
      <c r="E81" s="2">
        <v>98</v>
      </c>
      <c r="F81" s="2">
        <v>82</v>
      </c>
    </row>
    <row r="82" spans="1:6" x14ac:dyDescent="0.3">
      <c r="A82" s="2" t="s">
        <v>858</v>
      </c>
      <c r="B82" s="2" t="s">
        <v>279</v>
      </c>
      <c r="C82" s="2" t="s">
        <v>772</v>
      </c>
      <c r="D82" s="7">
        <v>21</v>
      </c>
      <c r="E82" s="2">
        <v>72</v>
      </c>
      <c r="F82" s="2">
        <v>133</v>
      </c>
    </row>
    <row r="83" spans="1:6" x14ac:dyDescent="0.3">
      <c r="A83" s="2" t="s">
        <v>859</v>
      </c>
      <c r="B83" s="2" t="s">
        <v>279</v>
      </c>
      <c r="C83" s="2" t="s">
        <v>756</v>
      </c>
      <c r="D83" s="7">
        <v>15.1</v>
      </c>
      <c r="E83" s="2">
        <v>113</v>
      </c>
      <c r="F83" s="2">
        <v>128</v>
      </c>
    </row>
    <row r="84" spans="1:6" x14ac:dyDescent="0.3">
      <c r="A84" s="2" t="s">
        <v>860</v>
      </c>
      <c r="B84" s="2" t="s">
        <v>281</v>
      </c>
      <c r="C84" s="2" t="s">
        <v>688</v>
      </c>
      <c r="D84" s="7">
        <v>44.1</v>
      </c>
      <c r="E84" s="2">
        <v>113</v>
      </c>
      <c r="F84" s="2">
        <v>157</v>
      </c>
    </row>
    <row r="85" spans="1:6" x14ac:dyDescent="0.3">
      <c r="A85" s="2" t="s">
        <v>861</v>
      </c>
      <c r="B85" s="2" t="s">
        <v>281</v>
      </c>
      <c r="C85" s="2" t="s">
        <v>770</v>
      </c>
      <c r="D85" s="7">
        <v>55.9</v>
      </c>
      <c r="E85" s="2">
        <v>78</v>
      </c>
      <c r="F85" s="2">
        <v>133</v>
      </c>
    </row>
    <row r="86" spans="1:6" x14ac:dyDescent="0.3">
      <c r="A86" s="2" t="s">
        <v>862</v>
      </c>
      <c r="B86" s="2" t="s">
        <v>283</v>
      </c>
      <c r="C86" s="2" t="s">
        <v>752</v>
      </c>
      <c r="D86" s="7">
        <v>55.7</v>
      </c>
      <c r="E86" s="2">
        <v>165</v>
      </c>
      <c r="F86" s="2">
        <v>81</v>
      </c>
    </row>
    <row r="87" spans="1:6" x14ac:dyDescent="0.3">
      <c r="A87" s="2" t="s">
        <v>863</v>
      </c>
      <c r="B87" s="2" t="s">
        <v>283</v>
      </c>
      <c r="C87" s="2" t="s">
        <v>691</v>
      </c>
      <c r="D87" s="7">
        <v>44.3</v>
      </c>
      <c r="E87" s="2">
        <v>65</v>
      </c>
      <c r="F87" s="2">
        <v>123</v>
      </c>
    </row>
    <row r="88" spans="1:6" x14ac:dyDescent="0.3">
      <c r="A88" s="2" t="s">
        <v>864</v>
      </c>
      <c r="B88" s="2" t="s">
        <v>286</v>
      </c>
      <c r="C88" s="2" t="s">
        <v>754</v>
      </c>
      <c r="D88" s="7">
        <v>45.1</v>
      </c>
      <c r="E88" s="2">
        <v>118</v>
      </c>
      <c r="F88" s="2">
        <v>112</v>
      </c>
    </row>
    <row r="89" spans="1:6" x14ac:dyDescent="0.3">
      <c r="A89" s="2" t="s">
        <v>865</v>
      </c>
      <c r="B89" s="2" t="s">
        <v>286</v>
      </c>
      <c r="C89" s="2" t="s">
        <v>742</v>
      </c>
      <c r="D89" s="7">
        <v>54.9</v>
      </c>
      <c r="E89" s="2">
        <v>136</v>
      </c>
      <c r="F89" s="2">
        <v>180</v>
      </c>
    </row>
    <row r="90" spans="1:6" x14ac:dyDescent="0.3">
      <c r="A90" s="2" t="s">
        <v>866</v>
      </c>
      <c r="B90" s="2" t="s">
        <v>288</v>
      </c>
      <c r="C90" s="2" t="s">
        <v>714</v>
      </c>
      <c r="D90" s="7">
        <v>24.5</v>
      </c>
      <c r="E90" s="2">
        <v>64</v>
      </c>
      <c r="F90" s="2">
        <v>141</v>
      </c>
    </row>
    <row r="91" spans="1:6" x14ac:dyDescent="0.3">
      <c r="A91" s="2" t="s">
        <v>867</v>
      </c>
      <c r="B91" s="2" t="s">
        <v>288</v>
      </c>
      <c r="C91" s="2" t="s">
        <v>754</v>
      </c>
      <c r="D91" s="7">
        <v>39.6</v>
      </c>
      <c r="E91" s="2">
        <v>80</v>
      </c>
      <c r="F91" s="2">
        <v>158</v>
      </c>
    </row>
    <row r="92" spans="1:6" x14ac:dyDescent="0.3">
      <c r="A92" s="2" t="s">
        <v>868</v>
      </c>
      <c r="B92" s="2" t="s">
        <v>288</v>
      </c>
      <c r="C92" s="2" t="s">
        <v>764</v>
      </c>
      <c r="D92" s="7">
        <v>35.9</v>
      </c>
      <c r="E92" s="2">
        <v>106</v>
      </c>
      <c r="F92" s="2">
        <v>133</v>
      </c>
    </row>
    <row r="93" spans="1:6" x14ac:dyDescent="0.3">
      <c r="A93" s="2" t="s">
        <v>869</v>
      </c>
      <c r="B93" s="2" t="s">
        <v>290</v>
      </c>
      <c r="C93" s="2" t="s">
        <v>697</v>
      </c>
      <c r="D93" s="7">
        <v>34.4</v>
      </c>
      <c r="E93" s="2">
        <v>91</v>
      </c>
      <c r="F93" s="2">
        <v>95</v>
      </c>
    </row>
    <row r="94" spans="1:6" x14ac:dyDescent="0.3">
      <c r="A94" s="2" t="s">
        <v>870</v>
      </c>
      <c r="B94" s="2" t="s">
        <v>290</v>
      </c>
      <c r="C94" s="2" t="s">
        <v>764</v>
      </c>
      <c r="D94" s="7">
        <v>37.5</v>
      </c>
      <c r="E94" s="2">
        <v>175</v>
      </c>
      <c r="F94" s="2">
        <v>161</v>
      </c>
    </row>
    <row r="95" spans="1:6" x14ac:dyDescent="0.3">
      <c r="A95" s="2" t="s">
        <v>871</v>
      </c>
      <c r="B95" s="2" t="s">
        <v>290</v>
      </c>
      <c r="C95" s="2" t="s">
        <v>681</v>
      </c>
      <c r="D95" s="7">
        <v>28.1</v>
      </c>
      <c r="E95" s="2">
        <v>82</v>
      </c>
      <c r="F95" s="2">
        <v>94</v>
      </c>
    </row>
    <row r="96" spans="1:6" x14ac:dyDescent="0.3">
      <c r="A96" s="2" t="s">
        <v>872</v>
      </c>
      <c r="B96" s="2" t="s">
        <v>292</v>
      </c>
      <c r="C96" s="2" t="s">
        <v>730</v>
      </c>
      <c r="D96" s="7">
        <v>54.5</v>
      </c>
      <c r="E96" s="2">
        <v>93</v>
      </c>
      <c r="F96" s="2">
        <v>142</v>
      </c>
    </row>
    <row r="97" spans="1:6" x14ac:dyDescent="0.3">
      <c r="A97" s="2" t="s">
        <v>873</v>
      </c>
      <c r="B97" s="2" t="s">
        <v>292</v>
      </c>
      <c r="C97" s="2" t="s">
        <v>764</v>
      </c>
      <c r="D97" s="7">
        <v>45.5</v>
      </c>
      <c r="E97" s="2">
        <v>107</v>
      </c>
      <c r="F97" s="2">
        <v>97</v>
      </c>
    </row>
    <row r="98" spans="1:6" x14ac:dyDescent="0.3">
      <c r="A98" s="2" t="s">
        <v>874</v>
      </c>
      <c r="B98" s="2" t="s">
        <v>294</v>
      </c>
      <c r="C98" s="2" t="s">
        <v>697</v>
      </c>
      <c r="D98" s="7">
        <v>35.799999999999997</v>
      </c>
      <c r="E98" s="2">
        <v>81</v>
      </c>
      <c r="F98" s="2">
        <v>55</v>
      </c>
    </row>
    <row r="99" spans="1:6" x14ac:dyDescent="0.3">
      <c r="A99" s="2" t="s">
        <v>875</v>
      </c>
      <c r="B99" s="2" t="s">
        <v>294</v>
      </c>
      <c r="C99" s="2" t="s">
        <v>722</v>
      </c>
      <c r="D99" s="7">
        <v>41.8</v>
      </c>
      <c r="E99" s="2">
        <v>135</v>
      </c>
      <c r="F99" s="2">
        <v>153</v>
      </c>
    </row>
    <row r="100" spans="1:6" x14ac:dyDescent="0.3">
      <c r="A100" s="2" t="s">
        <v>876</v>
      </c>
      <c r="B100" s="2" t="s">
        <v>294</v>
      </c>
      <c r="C100" s="2" t="s">
        <v>744</v>
      </c>
      <c r="D100" s="7">
        <v>22.4</v>
      </c>
      <c r="E100" s="2">
        <v>95</v>
      </c>
      <c r="F100" s="2">
        <v>128</v>
      </c>
    </row>
    <row r="101" spans="1:6" x14ac:dyDescent="0.3">
      <c r="A101" s="2" t="s">
        <v>877</v>
      </c>
      <c r="B101" s="2" t="s">
        <v>296</v>
      </c>
      <c r="C101" s="2" t="s">
        <v>726</v>
      </c>
      <c r="D101" s="7">
        <v>51.1</v>
      </c>
      <c r="E101" s="2">
        <v>88</v>
      </c>
      <c r="F101" s="2">
        <v>180</v>
      </c>
    </row>
    <row r="102" spans="1:6" x14ac:dyDescent="0.3">
      <c r="A102" s="2" t="s">
        <v>878</v>
      </c>
      <c r="B102" s="2" t="s">
        <v>296</v>
      </c>
      <c r="C102" s="2" t="s">
        <v>705</v>
      </c>
      <c r="D102" s="7">
        <v>48.9</v>
      </c>
      <c r="E102" s="2">
        <v>80</v>
      </c>
      <c r="F102" s="2">
        <v>113</v>
      </c>
    </row>
    <row r="103" spans="1:6" x14ac:dyDescent="0.3">
      <c r="A103" s="2" t="s">
        <v>879</v>
      </c>
      <c r="B103" s="2" t="s">
        <v>298</v>
      </c>
      <c r="C103" s="2" t="s">
        <v>728</v>
      </c>
      <c r="D103" s="7">
        <v>18.7</v>
      </c>
      <c r="E103" s="2">
        <v>87</v>
      </c>
      <c r="F103" s="2">
        <v>50</v>
      </c>
    </row>
    <row r="104" spans="1:6" x14ac:dyDescent="0.3">
      <c r="A104" s="2" t="s">
        <v>880</v>
      </c>
      <c r="B104" s="2" t="s">
        <v>298</v>
      </c>
      <c r="C104" s="2" t="s">
        <v>770</v>
      </c>
      <c r="D104" s="7">
        <v>29.5</v>
      </c>
      <c r="E104" s="2">
        <v>96</v>
      </c>
      <c r="F104" s="2">
        <v>112</v>
      </c>
    </row>
    <row r="105" spans="1:6" x14ac:dyDescent="0.3">
      <c r="A105" s="2" t="s">
        <v>881</v>
      </c>
      <c r="B105" s="2" t="s">
        <v>298</v>
      </c>
      <c r="C105" s="2" t="s">
        <v>699</v>
      </c>
      <c r="D105" s="7">
        <v>30.8</v>
      </c>
      <c r="E105" s="2">
        <v>81</v>
      </c>
      <c r="F105" s="2">
        <v>119</v>
      </c>
    </row>
    <row r="106" spans="1:6" x14ac:dyDescent="0.3">
      <c r="A106" s="2" t="s">
        <v>882</v>
      </c>
      <c r="B106" s="2" t="s">
        <v>298</v>
      </c>
      <c r="C106" s="2" t="s">
        <v>724</v>
      </c>
      <c r="D106" s="7">
        <v>21</v>
      </c>
      <c r="E106" s="2">
        <v>80</v>
      </c>
      <c r="F106" s="2">
        <v>145</v>
      </c>
    </row>
    <row r="107" spans="1:6" x14ac:dyDescent="0.3">
      <c r="A107" s="2" t="s">
        <v>883</v>
      </c>
      <c r="B107" s="2" t="s">
        <v>300</v>
      </c>
      <c r="C107" s="2" t="s">
        <v>699</v>
      </c>
      <c r="D107" s="7">
        <v>36.799999999999997</v>
      </c>
      <c r="E107" s="2">
        <v>128</v>
      </c>
      <c r="F107" s="2">
        <v>134</v>
      </c>
    </row>
    <row r="108" spans="1:6" x14ac:dyDescent="0.3">
      <c r="A108" s="2" t="s">
        <v>884</v>
      </c>
      <c r="B108" s="2" t="s">
        <v>300</v>
      </c>
      <c r="C108" s="2" t="s">
        <v>738</v>
      </c>
      <c r="D108" s="7">
        <v>19.5</v>
      </c>
      <c r="E108" s="2">
        <v>69</v>
      </c>
      <c r="F108" s="2">
        <v>132</v>
      </c>
    </row>
    <row r="109" spans="1:6" x14ac:dyDescent="0.3">
      <c r="A109" s="2" t="s">
        <v>885</v>
      </c>
      <c r="B109" s="2" t="s">
        <v>300</v>
      </c>
      <c r="C109" s="2" t="s">
        <v>752</v>
      </c>
      <c r="D109" s="7">
        <v>43.7</v>
      </c>
      <c r="E109" s="2">
        <v>84</v>
      </c>
      <c r="F109" s="2">
        <v>117</v>
      </c>
    </row>
    <row r="110" spans="1:6" x14ac:dyDescent="0.3">
      <c r="A110" s="2" t="s">
        <v>886</v>
      </c>
      <c r="B110" s="2" t="s">
        <v>302</v>
      </c>
      <c r="C110" s="2" t="s">
        <v>740</v>
      </c>
      <c r="D110" s="7">
        <v>19.7</v>
      </c>
      <c r="E110" s="2">
        <v>130</v>
      </c>
      <c r="F110" s="2">
        <v>53</v>
      </c>
    </row>
    <row r="111" spans="1:6" x14ac:dyDescent="0.3">
      <c r="A111" s="2" t="s">
        <v>887</v>
      </c>
      <c r="B111" s="2" t="s">
        <v>302</v>
      </c>
      <c r="C111" s="2" t="s">
        <v>746</v>
      </c>
      <c r="D111" s="7">
        <v>23.2</v>
      </c>
      <c r="E111" s="2">
        <v>124</v>
      </c>
      <c r="F111" s="2">
        <v>153</v>
      </c>
    </row>
    <row r="112" spans="1:6" x14ac:dyDescent="0.3">
      <c r="A112" s="2" t="s">
        <v>888</v>
      </c>
      <c r="B112" s="2" t="s">
        <v>302</v>
      </c>
      <c r="C112" s="2" t="s">
        <v>677</v>
      </c>
      <c r="D112" s="7">
        <v>14.1</v>
      </c>
      <c r="E112" s="2">
        <v>135</v>
      </c>
      <c r="F112" s="2">
        <v>142</v>
      </c>
    </row>
    <row r="113" spans="1:6" x14ac:dyDescent="0.3">
      <c r="A113" s="2" t="s">
        <v>889</v>
      </c>
      <c r="B113" s="2" t="s">
        <v>302</v>
      </c>
      <c r="C113" s="2" t="s">
        <v>756</v>
      </c>
      <c r="D113" s="7">
        <v>21.6</v>
      </c>
      <c r="E113" s="2">
        <v>105</v>
      </c>
      <c r="F113" s="2">
        <v>161</v>
      </c>
    </row>
    <row r="114" spans="1:6" x14ac:dyDescent="0.3">
      <c r="A114" s="2" t="s">
        <v>890</v>
      </c>
      <c r="B114" s="2" t="s">
        <v>302</v>
      </c>
      <c r="C114" s="2" t="s">
        <v>699</v>
      </c>
      <c r="D114" s="7">
        <v>21.4</v>
      </c>
      <c r="E114" s="2">
        <v>92</v>
      </c>
      <c r="F114" s="2">
        <v>168</v>
      </c>
    </row>
    <row r="115" spans="1:6" x14ac:dyDescent="0.3">
      <c r="A115" s="2" t="s">
        <v>891</v>
      </c>
      <c r="B115" s="2" t="s">
        <v>304</v>
      </c>
      <c r="C115" s="2" t="s">
        <v>709</v>
      </c>
      <c r="D115" s="7">
        <v>54.7</v>
      </c>
      <c r="E115" s="2">
        <v>67</v>
      </c>
      <c r="F115" s="2">
        <v>144</v>
      </c>
    </row>
    <row r="116" spans="1:6" x14ac:dyDescent="0.3">
      <c r="A116" s="2" t="s">
        <v>892</v>
      </c>
      <c r="B116" s="2" t="s">
        <v>304</v>
      </c>
      <c r="C116" s="2" t="s">
        <v>740</v>
      </c>
      <c r="D116" s="7">
        <v>45.3</v>
      </c>
      <c r="E116" s="2">
        <v>176</v>
      </c>
      <c r="F116" s="2">
        <v>159</v>
      </c>
    </row>
    <row r="117" spans="1:6" x14ac:dyDescent="0.3">
      <c r="A117" s="2" t="s">
        <v>893</v>
      </c>
      <c r="B117" s="2" t="s">
        <v>306</v>
      </c>
      <c r="C117" s="2" t="s">
        <v>714</v>
      </c>
      <c r="D117" s="7">
        <v>40.9</v>
      </c>
      <c r="E117" s="2">
        <v>61</v>
      </c>
      <c r="F117" s="2">
        <v>80</v>
      </c>
    </row>
    <row r="118" spans="1:6" x14ac:dyDescent="0.3">
      <c r="A118" s="2" t="s">
        <v>894</v>
      </c>
      <c r="B118" s="2" t="s">
        <v>306</v>
      </c>
      <c r="C118" s="2" t="s">
        <v>736</v>
      </c>
      <c r="D118" s="7">
        <v>32.200000000000003</v>
      </c>
      <c r="E118" s="2">
        <v>178</v>
      </c>
      <c r="F118" s="2">
        <v>60</v>
      </c>
    </row>
    <row r="119" spans="1:6" x14ac:dyDescent="0.3">
      <c r="A119" s="2" t="s">
        <v>895</v>
      </c>
      <c r="B119" s="2" t="s">
        <v>306</v>
      </c>
      <c r="C119" s="2" t="s">
        <v>693</v>
      </c>
      <c r="D119" s="7">
        <v>26.9</v>
      </c>
      <c r="E119" s="2">
        <v>151</v>
      </c>
      <c r="F119" s="2">
        <v>95</v>
      </c>
    </row>
    <row r="120" spans="1:6" x14ac:dyDescent="0.3">
      <c r="A120" s="2" t="s">
        <v>896</v>
      </c>
      <c r="B120" s="2" t="s">
        <v>308</v>
      </c>
      <c r="C120" s="2" t="s">
        <v>736</v>
      </c>
      <c r="D120" s="7">
        <v>33.4</v>
      </c>
      <c r="E120" s="2">
        <v>114</v>
      </c>
      <c r="F120" s="2">
        <v>88</v>
      </c>
    </row>
    <row r="121" spans="1:6" x14ac:dyDescent="0.3">
      <c r="A121" s="2" t="s">
        <v>897</v>
      </c>
      <c r="B121" s="2" t="s">
        <v>308</v>
      </c>
      <c r="C121" s="2" t="s">
        <v>709</v>
      </c>
      <c r="D121" s="7">
        <v>27.5</v>
      </c>
      <c r="E121" s="2">
        <v>127</v>
      </c>
      <c r="F121" s="2">
        <v>138</v>
      </c>
    </row>
    <row r="122" spans="1:6" x14ac:dyDescent="0.3">
      <c r="A122" s="2" t="s">
        <v>898</v>
      </c>
      <c r="B122" s="2" t="s">
        <v>308</v>
      </c>
      <c r="C122" s="2" t="s">
        <v>685</v>
      </c>
      <c r="D122" s="7">
        <v>19.8</v>
      </c>
      <c r="E122" s="2">
        <v>155</v>
      </c>
      <c r="F122" s="2">
        <v>111</v>
      </c>
    </row>
    <row r="123" spans="1:6" x14ac:dyDescent="0.3">
      <c r="A123" s="2" t="s">
        <v>899</v>
      </c>
      <c r="B123" s="2" t="s">
        <v>308</v>
      </c>
      <c r="C123" s="2" t="s">
        <v>722</v>
      </c>
      <c r="D123" s="7">
        <v>19.3</v>
      </c>
      <c r="E123" s="2">
        <v>163</v>
      </c>
      <c r="F123" s="2">
        <v>158</v>
      </c>
    </row>
    <row r="124" spans="1:6" x14ac:dyDescent="0.3">
      <c r="A124" s="2" t="s">
        <v>900</v>
      </c>
      <c r="B124" s="2" t="s">
        <v>310</v>
      </c>
      <c r="C124" s="2" t="s">
        <v>699</v>
      </c>
      <c r="D124" s="7">
        <v>19.2</v>
      </c>
      <c r="E124" s="2">
        <v>173</v>
      </c>
      <c r="F124" s="2">
        <v>69</v>
      </c>
    </row>
    <row r="125" spans="1:6" x14ac:dyDescent="0.3">
      <c r="A125" s="2" t="s">
        <v>901</v>
      </c>
      <c r="B125" s="2" t="s">
        <v>310</v>
      </c>
      <c r="C125" s="2" t="s">
        <v>768</v>
      </c>
      <c r="D125" s="7">
        <v>15</v>
      </c>
      <c r="E125" s="2">
        <v>175</v>
      </c>
      <c r="F125" s="2">
        <v>130</v>
      </c>
    </row>
    <row r="126" spans="1:6" x14ac:dyDescent="0.3">
      <c r="A126" s="2" t="s">
        <v>902</v>
      </c>
      <c r="B126" s="2" t="s">
        <v>310</v>
      </c>
      <c r="C126" s="2" t="s">
        <v>712</v>
      </c>
      <c r="D126" s="7">
        <v>17.100000000000001</v>
      </c>
      <c r="E126" s="2">
        <v>113</v>
      </c>
      <c r="F126" s="2">
        <v>178</v>
      </c>
    </row>
    <row r="127" spans="1:6" x14ac:dyDescent="0.3">
      <c r="A127" s="2" t="s">
        <v>903</v>
      </c>
      <c r="B127" s="2" t="s">
        <v>310</v>
      </c>
      <c r="C127" s="2" t="s">
        <v>754</v>
      </c>
      <c r="D127" s="7">
        <v>24.7</v>
      </c>
      <c r="E127" s="2">
        <v>74</v>
      </c>
      <c r="F127" s="2">
        <v>66</v>
      </c>
    </row>
    <row r="128" spans="1:6" x14ac:dyDescent="0.3">
      <c r="A128" s="2" t="s">
        <v>904</v>
      </c>
      <c r="B128" s="2" t="s">
        <v>310</v>
      </c>
      <c r="C128" s="2" t="s">
        <v>730</v>
      </c>
      <c r="D128" s="7">
        <v>24</v>
      </c>
      <c r="E128" s="2">
        <v>83</v>
      </c>
      <c r="F128" s="2">
        <v>107</v>
      </c>
    </row>
    <row r="129" spans="1:6" x14ac:dyDescent="0.3">
      <c r="A129" s="2" t="s">
        <v>905</v>
      </c>
      <c r="B129" s="2" t="s">
        <v>312</v>
      </c>
      <c r="C129" s="2" t="s">
        <v>750</v>
      </c>
      <c r="D129" s="7">
        <v>46.6</v>
      </c>
      <c r="E129" s="2">
        <v>74</v>
      </c>
      <c r="F129" s="2">
        <v>121</v>
      </c>
    </row>
    <row r="130" spans="1:6" x14ac:dyDescent="0.3">
      <c r="A130" s="2" t="s">
        <v>906</v>
      </c>
      <c r="B130" s="2" t="s">
        <v>312</v>
      </c>
      <c r="C130" s="2" t="s">
        <v>730</v>
      </c>
      <c r="D130" s="7">
        <v>22.8</v>
      </c>
      <c r="E130" s="2">
        <v>86</v>
      </c>
      <c r="F130" s="2">
        <v>61</v>
      </c>
    </row>
    <row r="131" spans="1:6" x14ac:dyDescent="0.3">
      <c r="A131" s="2" t="s">
        <v>907</v>
      </c>
      <c r="B131" s="2" t="s">
        <v>312</v>
      </c>
      <c r="C131" s="2" t="s">
        <v>685</v>
      </c>
      <c r="D131" s="7">
        <v>30.5</v>
      </c>
      <c r="E131" s="2">
        <v>124</v>
      </c>
      <c r="F131" s="2">
        <v>156</v>
      </c>
    </row>
    <row r="132" spans="1:6" x14ac:dyDescent="0.3">
      <c r="A132" s="2" t="s">
        <v>908</v>
      </c>
      <c r="B132" s="2" t="s">
        <v>314</v>
      </c>
      <c r="C132" s="2" t="s">
        <v>709</v>
      </c>
      <c r="D132" s="7">
        <v>25.6</v>
      </c>
      <c r="E132" s="2">
        <v>72</v>
      </c>
      <c r="F132" s="2">
        <v>101</v>
      </c>
    </row>
    <row r="133" spans="1:6" x14ac:dyDescent="0.3">
      <c r="A133" s="2" t="s">
        <v>909</v>
      </c>
      <c r="B133" s="2" t="s">
        <v>314</v>
      </c>
      <c r="C133" s="2" t="s">
        <v>712</v>
      </c>
      <c r="D133" s="7">
        <v>24.2</v>
      </c>
      <c r="E133" s="2">
        <v>117</v>
      </c>
      <c r="F133" s="2">
        <v>81</v>
      </c>
    </row>
    <row r="134" spans="1:6" x14ac:dyDescent="0.3">
      <c r="A134" s="2" t="s">
        <v>910</v>
      </c>
      <c r="B134" s="2" t="s">
        <v>314</v>
      </c>
      <c r="C134" s="2" t="s">
        <v>732</v>
      </c>
      <c r="D134" s="7">
        <v>22.5</v>
      </c>
      <c r="E134" s="2">
        <v>140</v>
      </c>
      <c r="F134" s="2">
        <v>154</v>
      </c>
    </row>
    <row r="135" spans="1:6" x14ac:dyDescent="0.3">
      <c r="A135" s="2" t="s">
        <v>911</v>
      </c>
      <c r="B135" s="2" t="s">
        <v>314</v>
      </c>
      <c r="C135" s="2" t="s">
        <v>701</v>
      </c>
      <c r="D135" s="7">
        <v>27.7</v>
      </c>
      <c r="E135" s="2">
        <v>159</v>
      </c>
      <c r="F135" s="2">
        <v>132</v>
      </c>
    </row>
    <row r="136" spans="1:6" x14ac:dyDescent="0.3">
      <c r="A136" s="2" t="s">
        <v>912</v>
      </c>
      <c r="B136" s="2" t="s">
        <v>316</v>
      </c>
      <c r="C136" s="2" t="s">
        <v>768</v>
      </c>
      <c r="D136" s="7">
        <v>29.5</v>
      </c>
      <c r="E136" s="2">
        <v>114</v>
      </c>
      <c r="F136" s="2">
        <v>161</v>
      </c>
    </row>
    <row r="137" spans="1:6" x14ac:dyDescent="0.3">
      <c r="A137" s="2" t="s">
        <v>913</v>
      </c>
      <c r="B137" s="2" t="s">
        <v>316</v>
      </c>
      <c r="C137" s="2" t="s">
        <v>742</v>
      </c>
      <c r="D137" s="7">
        <v>26.1</v>
      </c>
      <c r="E137" s="2">
        <v>60</v>
      </c>
      <c r="F137" s="2">
        <v>138</v>
      </c>
    </row>
    <row r="138" spans="1:6" x14ac:dyDescent="0.3">
      <c r="A138" s="2" t="s">
        <v>914</v>
      </c>
      <c r="B138" s="2" t="s">
        <v>316</v>
      </c>
      <c r="C138" s="2" t="s">
        <v>695</v>
      </c>
      <c r="D138" s="7">
        <v>44.4</v>
      </c>
      <c r="E138" s="2">
        <v>125</v>
      </c>
      <c r="F138" s="2">
        <v>180</v>
      </c>
    </row>
    <row r="139" spans="1:6" x14ac:dyDescent="0.3">
      <c r="A139" s="2" t="s">
        <v>915</v>
      </c>
      <c r="B139" s="2" t="s">
        <v>318</v>
      </c>
      <c r="C139" s="2" t="s">
        <v>738</v>
      </c>
      <c r="D139" s="7">
        <v>42.4</v>
      </c>
      <c r="E139" s="2">
        <v>124</v>
      </c>
      <c r="F139" s="2">
        <v>153</v>
      </c>
    </row>
    <row r="140" spans="1:6" x14ac:dyDescent="0.3">
      <c r="A140" s="2" t="s">
        <v>916</v>
      </c>
      <c r="B140" s="2" t="s">
        <v>318</v>
      </c>
      <c r="C140" s="2" t="s">
        <v>764</v>
      </c>
      <c r="D140" s="7">
        <v>37.9</v>
      </c>
      <c r="E140" s="2">
        <v>119</v>
      </c>
      <c r="F140" s="2">
        <v>100</v>
      </c>
    </row>
    <row r="141" spans="1:6" x14ac:dyDescent="0.3">
      <c r="A141" s="2" t="s">
        <v>917</v>
      </c>
      <c r="B141" s="2" t="s">
        <v>318</v>
      </c>
      <c r="C141" s="2" t="s">
        <v>709</v>
      </c>
      <c r="D141" s="7">
        <v>19.600000000000001</v>
      </c>
      <c r="E141" s="2">
        <v>89</v>
      </c>
      <c r="F141" s="2">
        <v>60</v>
      </c>
    </row>
    <row r="142" spans="1:6" x14ac:dyDescent="0.3">
      <c r="A142" s="2" t="s">
        <v>918</v>
      </c>
      <c r="B142" s="2" t="s">
        <v>320</v>
      </c>
      <c r="C142" s="2" t="s">
        <v>695</v>
      </c>
      <c r="D142" s="7">
        <v>22.5</v>
      </c>
      <c r="E142" s="2">
        <v>74</v>
      </c>
      <c r="F142" s="2">
        <v>103</v>
      </c>
    </row>
    <row r="143" spans="1:6" x14ac:dyDescent="0.3">
      <c r="A143" s="2" t="s">
        <v>919</v>
      </c>
      <c r="B143" s="2" t="s">
        <v>320</v>
      </c>
      <c r="C143" s="2" t="s">
        <v>688</v>
      </c>
      <c r="D143" s="7">
        <v>40.4</v>
      </c>
      <c r="E143" s="2">
        <v>86</v>
      </c>
      <c r="F143" s="2">
        <v>62</v>
      </c>
    </row>
    <row r="144" spans="1:6" x14ac:dyDescent="0.3">
      <c r="A144" s="2" t="s">
        <v>920</v>
      </c>
      <c r="B144" s="2" t="s">
        <v>320</v>
      </c>
      <c r="C144" s="2" t="s">
        <v>720</v>
      </c>
      <c r="D144" s="7">
        <v>37</v>
      </c>
      <c r="E144" s="2">
        <v>172</v>
      </c>
      <c r="F144" s="2">
        <v>109</v>
      </c>
    </row>
    <row r="145" spans="1:6" x14ac:dyDescent="0.3">
      <c r="A145" s="2" t="s">
        <v>921</v>
      </c>
      <c r="B145" s="2" t="s">
        <v>322</v>
      </c>
      <c r="C145" s="2" t="s">
        <v>742</v>
      </c>
      <c r="D145" s="7">
        <v>43.2</v>
      </c>
      <c r="E145" s="2">
        <v>171</v>
      </c>
      <c r="F145" s="2">
        <v>117</v>
      </c>
    </row>
    <row r="146" spans="1:6" x14ac:dyDescent="0.3">
      <c r="A146" s="2" t="s">
        <v>922</v>
      </c>
      <c r="B146" s="2" t="s">
        <v>322</v>
      </c>
      <c r="C146" s="2" t="s">
        <v>772</v>
      </c>
      <c r="D146" s="7">
        <v>56.8</v>
      </c>
      <c r="E146" s="2">
        <v>99</v>
      </c>
      <c r="F146" s="2">
        <v>139</v>
      </c>
    </row>
    <row r="147" spans="1:6" x14ac:dyDescent="0.3">
      <c r="A147" s="2" t="s">
        <v>923</v>
      </c>
      <c r="B147" s="2" t="s">
        <v>324</v>
      </c>
      <c r="C147" s="2" t="s">
        <v>677</v>
      </c>
      <c r="D147" s="7">
        <v>40.700000000000003</v>
      </c>
      <c r="E147" s="2">
        <v>76</v>
      </c>
      <c r="F147" s="2">
        <v>145</v>
      </c>
    </row>
    <row r="148" spans="1:6" x14ac:dyDescent="0.3">
      <c r="A148" s="2" t="s">
        <v>924</v>
      </c>
      <c r="B148" s="2" t="s">
        <v>324</v>
      </c>
      <c r="C148" s="2" t="s">
        <v>736</v>
      </c>
      <c r="D148" s="7">
        <v>59.3</v>
      </c>
      <c r="E148" s="2">
        <v>63</v>
      </c>
      <c r="F148" s="2">
        <v>130</v>
      </c>
    </row>
    <row r="149" spans="1:6" x14ac:dyDescent="0.3">
      <c r="A149" s="2" t="s">
        <v>925</v>
      </c>
      <c r="B149" s="2" t="s">
        <v>326</v>
      </c>
      <c r="C149" s="2" t="s">
        <v>766</v>
      </c>
      <c r="D149" s="7">
        <v>34.5</v>
      </c>
      <c r="E149" s="2">
        <v>66</v>
      </c>
      <c r="F149" s="2">
        <v>175</v>
      </c>
    </row>
    <row r="150" spans="1:6" x14ac:dyDescent="0.3">
      <c r="A150" s="2" t="s">
        <v>926</v>
      </c>
      <c r="B150" s="2" t="s">
        <v>326</v>
      </c>
      <c r="C150" s="2" t="s">
        <v>724</v>
      </c>
      <c r="D150" s="7">
        <v>18</v>
      </c>
      <c r="E150" s="2">
        <v>123</v>
      </c>
      <c r="F150" s="2">
        <v>51</v>
      </c>
    </row>
    <row r="151" spans="1:6" x14ac:dyDescent="0.3">
      <c r="A151" s="2" t="s">
        <v>927</v>
      </c>
      <c r="B151" s="2" t="s">
        <v>326</v>
      </c>
      <c r="C151" s="2" t="s">
        <v>734</v>
      </c>
      <c r="D151" s="7">
        <v>20.6</v>
      </c>
      <c r="E151" s="2">
        <v>135</v>
      </c>
      <c r="F151" s="2">
        <v>170</v>
      </c>
    </row>
    <row r="152" spans="1:6" x14ac:dyDescent="0.3">
      <c r="A152" s="2" t="s">
        <v>928</v>
      </c>
      <c r="B152" s="2" t="s">
        <v>326</v>
      </c>
      <c r="C152" s="2" t="s">
        <v>688</v>
      </c>
      <c r="D152" s="7">
        <v>26.8</v>
      </c>
      <c r="E152" s="2">
        <v>101</v>
      </c>
      <c r="F152" s="2">
        <v>103</v>
      </c>
    </row>
    <row r="153" spans="1:6" x14ac:dyDescent="0.3">
      <c r="A153" s="2" t="s">
        <v>929</v>
      </c>
      <c r="B153" s="2" t="s">
        <v>328</v>
      </c>
      <c r="C153" s="2" t="s">
        <v>754</v>
      </c>
      <c r="D153" s="7">
        <v>26</v>
      </c>
      <c r="E153" s="2">
        <v>111</v>
      </c>
      <c r="F153" s="2">
        <v>68</v>
      </c>
    </row>
    <row r="154" spans="1:6" x14ac:dyDescent="0.3">
      <c r="A154" s="2" t="s">
        <v>930</v>
      </c>
      <c r="B154" s="2" t="s">
        <v>328</v>
      </c>
      <c r="C154" s="2" t="s">
        <v>685</v>
      </c>
      <c r="D154" s="7">
        <v>37.200000000000003</v>
      </c>
      <c r="E154" s="2">
        <v>136</v>
      </c>
      <c r="F154" s="2">
        <v>155</v>
      </c>
    </row>
    <row r="155" spans="1:6" x14ac:dyDescent="0.3">
      <c r="A155" s="2" t="s">
        <v>931</v>
      </c>
      <c r="B155" s="2" t="s">
        <v>328</v>
      </c>
      <c r="C155" s="2" t="s">
        <v>748</v>
      </c>
      <c r="D155" s="7">
        <v>36.799999999999997</v>
      </c>
      <c r="E155" s="2">
        <v>80</v>
      </c>
      <c r="F155" s="2">
        <v>113</v>
      </c>
    </row>
    <row r="156" spans="1:6" x14ac:dyDescent="0.3">
      <c r="A156" s="2" t="s">
        <v>932</v>
      </c>
      <c r="B156" s="2" t="s">
        <v>330</v>
      </c>
      <c r="C156" s="2" t="s">
        <v>730</v>
      </c>
      <c r="D156" s="7">
        <v>39.299999999999997</v>
      </c>
      <c r="E156" s="2">
        <v>136</v>
      </c>
      <c r="F156" s="2">
        <v>91</v>
      </c>
    </row>
    <row r="157" spans="1:6" x14ac:dyDescent="0.3">
      <c r="A157" s="2" t="s">
        <v>933</v>
      </c>
      <c r="B157" s="2" t="s">
        <v>330</v>
      </c>
      <c r="C157" s="2" t="s">
        <v>697</v>
      </c>
      <c r="D157" s="7">
        <v>31.9</v>
      </c>
      <c r="E157" s="2">
        <v>68</v>
      </c>
      <c r="F157" s="2">
        <v>155</v>
      </c>
    </row>
    <row r="158" spans="1:6" x14ac:dyDescent="0.3">
      <c r="A158" s="2" t="s">
        <v>934</v>
      </c>
      <c r="B158" s="2" t="s">
        <v>330</v>
      </c>
      <c r="C158" s="2" t="s">
        <v>705</v>
      </c>
      <c r="D158" s="7">
        <v>28.8</v>
      </c>
      <c r="E158" s="2">
        <v>154</v>
      </c>
      <c r="F158" s="2">
        <v>117</v>
      </c>
    </row>
    <row r="159" spans="1:6" x14ac:dyDescent="0.3">
      <c r="A159" s="2" t="s">
        <v>935</v>
      </c>
      <c r="B159" s="2" t="s">
        <v>332</v>
      </c>
      <c r="C159" s="2" t="s">
        <v>754</v>
      </c>
      <c r="D159" s="7">
        <v>17.399999999999999</v>
      </c>
      <c r="E159" s="2">
        <v>71</v>
      </c>
      <c r="F159" s="2">
        <v>76</v>
      </c>
    </row>
    <row r="160" spans="1:6" x14ac:dyDescent="0.3">
      <c r="A160" s="2" t="s">
        <v>936</v>
      </c>
      <c r="B160" s="2" t="s">
        <v>332</v>
      </c>
      <c r="C160" s="2" t="s">
        <v>707</v>
      </c>
      <c r="D160" s="7">
        <v>19.100000000000001</v>
      </c>
      <c r="E160" s="2">
        <v>172</v>
      </c>
      <c r="F160" s="2">
        <v>98</v>
      </c>
    </row>
    <row r="161" spans="1:6" x14ac:dyDescent="0.3">
      <c r="A161" s="2" t="s">
        <v>937</v>
      </c>
      <c r="B161" s="2" t="s">
        <v>332</v>
      </c>
      <c r="C161" s="2" t="s">
        <v>699</v>
      </c>
      <c r="D161" s="7">
        <v>17.899999999999999</v>
      </c>
      <c r="E161" s="2">
        <v>75</v>
      </c>
      <c r="F161" s="2">
        <v>179</v>
      </c>
    </row>
    <row r="162" spans="1:6" x14ac:dyDescent="0.3">
      <c r="A162" s="2" t="s">
        <v>938</v>
      </c>
      <c r="B162" s="2" t="s">
        <v>332</v>
      </c>
      <c r="C162" s="2" t="s">
        <v>685</v>
      </c>
      <c r="D162" s="7">
        <v>23.5</v>
      </c>
      <c r="E162" s="2">
        <v>119</v>
      </c>
      <c r="F162" s="2">
        <v>79</v>
      </c>
    </row>
    <row r="163" spans="1:6" x14ac:dyDescent="0.3">
      <c r="A163" s="2" t="s">
        <v>939</v>
      </c>
      <c r="B163" s="2" t="s">
        <v>332</v>
      </c>
      <c r="C163" s="2" t="s">
        <v>693</v>
      </c>
      <c r="D163" s="7">
        <v>22.1</v>
      </c>
      <c r="E163" s="2">
        <v>143</v>
      </c>
      <c r="F163" s="2">
        <v>77</v>
      </c>
    </row>
    <row r="164" spans="1:6" x14ac:dyDescent="0.3">
      <c r="A164" s="2" t="s">
        <v>940</v>
      </c>
      <c r="B164" s="2" t="s">
        <v>334</v>
      </c>
      <c r="C164" s="2" t="s">
        <v>685</v>
      </c>
      <c r="D164" s="7">
        <v>21.4</v>
      </c>
      <c r="E164" s="2">
        <v>135</v>
      </c>
      <c r="F164" s="2">
        <v>85</v>
      </c>
    </row>
    <row r="165" spans="1:6" x14ac:dyDescent="0.3">
      <c r="A165" s="2" t="s">
        <v>941</v>
      </c>
      <c r="B165" s="2" t="s">
        <v>334</v>
      </c>
      <c r="C165" s="2" t="s">
        <v>718</v>
      </c>
      <c r="D165" s="7">
        <v>20.3</v>
      </c>
      <c r="E165" s="2">
        <v>104</v>
      </c>
      <c r="F165" s="2">
        <v>71</v>
      </c>
    </row>
    <row r="166" spans="1:6" x14ac:dyDescent="0.3">
      <c r="A166" s="2" t="s">
        <v>942</v>
      </c>
      <c r="B166" s="2" t="s">
        <v>334</v>
      </c>
      <c r="C166" s="2" t="s">
        <v>770</v>
      </c>
      <c r="D166" s="7">
        <v>25.8</v>
      </c>
      <c r="E166" s="2">
        <v>137</v>
      </c>
      <c r="F166" s="2">
        <v>176</v>
      </c>
    </row>
    <row r="167" spans="1:6" x14ac:dyDescent="0.3">
      <c r="A167" s="2" t="s">
        <v>943</v>
      </c>
      <c r="B167" s="2" t="s">
        <v>334</v>
      </c>
      <c r="C167" s="2" t="s">
        <v>712</v>
      </c>
      <c r="D167" s="7">
        <v>32.5</v>
      </c>
      <c r="E167" s="2">
        <v>139</v>
      </c>
      <c r="F167" s="2">
        <v>149</v>
      </c>
    </row>
    <row r="168" spans="1:6" x14ac:dyDescent="0.3">
      <c r="A168" s="2" t="s">
        <v>944</v>
      </c>
      <c r="B168" s="2" t="s">
        <v>336</v>
      </c>
      <c r="C168" s="2" t="s">
        <v>762</v>
      </c>
      <c r="D168" s="7">
        <v>24.5</v>
      </c>
      <c r="E168" s="2">
        <v>146</v>
      </c>
      <c r="F168" s="2">
        <v>81</v>
      </c>
    </row>
    <row r="169" spans="1:6" x14ac:dyDescent="0.3">
      <c r="A169" s="2" t="s">
        <v>945</v>
      </c>
      <c r="B169" s="2" t="s">
        <v>336</v>
      </c>
      <c r="C169" s="2" t="s">
        <v>766</v>
      </c>
      <c r="D169" s="7">
        <v>36.5</v>
      </c>
      <c r="E169" s="2">
        <v>99</v>
      </c>
      <c r="F169" s="2">
        <v>84</v>
      </c>
    </row>
    <row r="170" spans="1:6" x14ac:dyDescent="0.3">
      <c r="A170" s="2" t="s">
        <v>946</v>
      </c>
      <c r="B170" s="2" t="s">
        <v>336</v>
      </c>
      <c r="C170" s="2" t="s">
        <v>701</v>
      </c>
      <c r="D170" s="7">
        <v>39</v>
      </c>
      <c r="E170" s="2">
        <v>64</v>
      </c>
      <c r="F170" s="2">
        <v>78</v>
      </c>
    </row>
    <row r="171" spans="1:6" x14ac:dyDescent="0.3">
      <c r="A171" s="2" t="s">
        <v>947</v>
      </c>
      <c r="B171" s="2" t="s">
        <v>338</v>
      </c>
      <c r="C171" s="2" t="s">
        <v>720</v>
      </c>
      <c r="D171" s="7">
        <v>57.4</v>
      </c>
      <c r="E171" s="2">
        <v>63</v>
      </c>
      <c r="F171" s="2">
        <v>68</v>
      </c>
    </row>
    <row r="172" spans="1:6" x14ac:dyDescent="0.3">
      <c r="A172" s="2" t="s">
        <v>948</v>
      </c>
      <c r="B172" s="2" t="s">
        <v>338</v>
      </c>
      <c r="C172" s="2" t="s">
        <v>760</v>
      </c>
      <c r="D172" s="7">
        <v>42.6</v>
      </c>
      <c r="E172" s="2">
        <v>161</v>
      </c>
      <c r="F172" s="2">
        <v>135</v>
      </c>
    </row>
    <row r="173" spans="1:6" x14ac:dyDescent="0.3">
      <c r="A173" s="2" t="s">
        <v>949</v>
      </c>
      <c r="B173" s="2" t="s">
        <v>340</v>
      </c>
      <c r="C173" s="2" t="s">
        <v>742</v>
      </c>
      <c r="D173" s="7">
        <v>35</v>
      </c>
      <c r="E173" s="2">
        <v>161</v>
      </c>
      <c r="F173" s="2">
        <v>159</v>
      </c>
    </row>
    <row r="174" spans="1:6" x14ac:dyDescent="0.3">
      <c r="A174" s="2" t="s">
        <v>950</v>
      </c>
      <c r="B174" s="2" t="s">
        <v>340</v>
      </c>
      <c r="C174" s="2" t="s">
        <v>752</v>
      </c>
      <c r="D174" s="7">
        <v>29.6</v>
      </c>
      <c r="E174" s="2">
        <v>71</v>
      </c>
      <c r="F174" s="2">
        <v>100</v>
      </c>
    </row>
    <row r="175" spans="1:6" x14ac:dyDescent="0.3">
      <c r="A175" s="2" t="s">
        <v>951</v>
      </c>
      <c r="B175" s="2" t="s">
        <v>340</v>
      </c>
      <c r="C175" s="2" t="s">
        <v>718</v>
      </c>
      <c r="D175" s="7">
        <v>35.4</v>
      </c>
      <c r="E175" s="2">
        <v>176</v>
      </c>
      <c r="F175" s="2">
        <v>95</v>
      </c>
    </row>
    <row r="176" spans="1:6" x14ac:dyDescent="0.3">
      <c r="A176" s="2" t="s">
        <v>952</v>
      </c>
      <c r="B176" s="2" t="s">
        <v>342</v>
      </c>
      <c r="C176" s="2" t="s">
        <v>705</v>
      </c>
      <c r="D176" s="7">
        <v>31.7</v>
      </c>
      <c r="E176" s="2">
        <v>116</v>
      </c>
      <c r="F176" s="2">
        <v>174</v>
      </c>
    </row>
    <row r="177" spans="1:6" x14ac:dyDescent="0.3">
      <c r="A177" s="2" t="s">
        <v>953</v>
      </c>
      <c r="B177" s="2" t="s">
        <v>342</v>
      </c>
      <c r="C177" s="2" t="s">
        <v>724</v>
      </c>
      <c r="D177" s="7">
        <v>22.6</v>
      </c>
      <c r="E177" s="2">
        <v>109</v>
      </c>
      <c r="F177" s="2">
        <v>101</v>
      </c>
    </row>
    <row r="178" spans="1:6" x14ac:dyDescent="0.3">
      <c r="A178" s="2" t="s">
        <v>954</v>
      </c>
      <c r="B178" s="2" t="s">
        <v>342</v>
      </c>
      <c r="C178" s="2" t="s">
        <v>752</v>
      </c>
      <c r="D178" s="7">
        <v>30.1</v>
      </c>
      <c r="E178" s="2">
        <v>92</v>
      </c>
      <c r="F178" s="2">
        <v>50</v>
      </c>
    </row>
    <row r="179" spans="1:6" x14ac:dyDescent="0.3">
      <c r="A179" s="2" t="s">
        <v>955</v>
      </c>
      <c r="B179" s="2" t="s">
        <v>342</v>
      </c>
      <c r="C179" s="2" t="s">
        <v>760</v>
      </c>
      <c r="D179" s="7">
        <v>15.6</v>
      </c>
      <c r="E179" s="2">
        <v>167</v>
      </c>
      <c r="F179" s="2">
        <v>53</v>
      </c>
    </row>
    <row r="180" spans="1:6" x14ac:dyDescent="0.3">
      <c r="A180" s="2" t="s">
        <v>956</v>
      </c>
      <c r="B180" s="2" t="s">
        <v>344</v>
      </c>
      <c r="C180" s="2" t="s">
        <v>707</v>
      </c>
      <c r="D180" s="7">
        <v>15.2</v>
      </c>
      <c r="E180" s="2">
        <v>83</v>
      </c>
      <c r="F180" s="2">
        <v>135</v>
      </c>
    </row>
    <row r="181" spans="1:6" x14ac:dyDescent="0.3">
      <c r="A181" s="2" t="s">
        <v>957</v>
      </c>
      <c r="B181" s="2" t="s">
        <v>344</v>
      </c>
      <c r="C181" s="2" t="s">
        <v>701</v>
      </c>
      <c r="D181" s="7">
        <v>30.1</v>
      </c>
      <c r="E181" s="2">
        <v>78</v>
      </c>
      <c r="F181" s="2">
        <v>150</v>
      </c>
    </row>
    <row r="182" spans="1:6" x14ac:dyDescent="0.3">
      <c r="A182" s="2" t="s">
        <v>958</v>
      </c>
      <c r="B182" s="2" t="s">
        <v>344</v>
      </c>
      <c r="C182" s="2" t="s">
        <v>756</v>
      </c>
      <c r="D182" s="7">
        <v>24.1</v>
      </c>
      <c r="E182" s="2">
        <v>77</v>
      </c>
      <c r="F182" s="2">
        <v>144</v>
      </c>
    </row>
    <row r="183" spans="1:6" x14ac:dyDescent="0.3">
      <c r="A183" s="2" t="s">
        <v>959</v>
      </c>
      <c r="B183" s="2" t="s">
        <v>344</v>
      </c>
      <c r="C183" s="2" t="s">
        <v>770</v>
      </c>
      <c r="D183" s="7">
        <v>30.6</v>
      </c>
      <c r="E183" s="2">
        <v>160</v>
      </c>
      <c r="F183" s="2">
        <v>79</v>
      </c>
    </row>
    <row r="184" spans="1:6" x14ac:dyDescent="0.3">
      <c r="A184" s="2" t="s">
        <v>960</v>
      </c>
      <c r="B184" s="2" t="s">
        <v>346</v>
      </c>
      <c r="C184" s="2" t="s">
        <v>697</v>
      </c>
      <c r="D184" s="7">
        <v>24.3</v>
      </c>
      <c r="E184" s="2">
        <v>75</v>
      </c>
      <c r="F184" s="2">
        <v>144</v>
      </c>
    </row>
    <row r="185" spans="1:6" x14ac:dyDescent="0.3">
      <c r="A185" s="2" t="s">
        <v>961</v>
      </c>
      <c r="B185" s="2" t="s">
        <v>346</v>
      </c>
      <c r="C185" s="2" t="s">
        <v>744</v>
      </c>
      <c r="D185" s="7">
        <v>20.2</v>
      </c>
      <c r="E185" s="2">
        <v>73</v>
      </c>
      <c r="F185" s="2">
        <v>168</v>
      </c>
    </row>
    <row r="186" spans="1:6" x14ac:dyDescent="0.3">
      <c r="A186" s="2" t="s">
        <v>962</v>
      </c>
      <c r="B186" s="2" t="s">
        <v>346</v>
      </c>
      <c r="C186" s="2" t="s">
        <v>732</v>
      </c>
      <c r="D186" s="7">
        <v>28</v>
      </c>
      <c r="E186" s="2">
        <v>108</v>
      </c>
      <c r="F186" s="2">
        <v>58</v>
      </c>
    </row>
    <row r="187" spans="1:6" x14ac:dyDescent="0.3">
      <c r="A187" s="2" t="s">
        <v>963</v>
      </c>
      <c r="B187" s="2" t="s">
        <v>346</v>
      </c>
      <c r="C187" s="2" t="s">
        <v>758</v>
      </c>
      <c r="D187" s="7">
        <v>27.5</v>
      </c>
      <c r="E187" s="2">
        <v>117</v>
      </c>
      <c r="F187" s="2">
        <v>91</v>
      </c>
    </row>
    <row r="188" spans="1:6" x14ac:dyDescent="0.3">
      <c r="A188" s="2" t="s">
        <v>964</v>
      </c>
      <c r="B188" s="2" t="s">
        <v>348</v>
      </c>
      <c r="C188" s="2" t="s">
        <v>724</v>
      </c>
      <c r="D188" s="7">
        <v>44.4</v>
      </c>
      <c r="E188" s="2">
        <v>166</v>
      </c>
      <c r="F188" s="2">
        <v>159</v>
      </c>
    </row>
    <row r="189" spans="1:6" x14ac:dyDescent="0.3">
      <c r="A189" s="2" t="s">
        <v>965</v>
      </c>
      <c r="B189" s="2" t="s">
        <v>348</v>
      </c>
      <c r="C189" s="2" t="s">
        <v>709</v>
      </c>
      <c r="D189" s="7">
        <v>25.9</v>
      </c>
      <c r="E189" s="2">
        <v>131</v>
      </c>
      <c r="F189" s="2">
        <v>162</v>
      </c>
    </row>
    <row r="190" spans="1:6" x14ac:dyDescent="0.3">
      <c r="A190" s="2" t="s">
        <v>966</v>
      </c>
      <c r="B190" s="2" t="s">
        <v>348</v>
      </c>
      <c r="C190" s="2" t="s">
        <v>703</v>
      </c>
      <c r="D190" s="7">
        <v>29.7</v>
      </c>
      <c r="E190" s="2">
        <v>148</v>
      </c>
      <c r="F190" s="2">
        <v>99</v>
      </c>
    </row>
    <row r="191" spans="1:6" x14ac:dyDescent="0.3">
      <c r="A191" s="2" t="s">
        <v>967</v>
      </c>
      <c r="B191" s="2" t="s">
        <v>350</v>
      </c>
      <c r="C191" s="2" t="s">
        <v>772</v>
      </c>
      <c r="D191" s="7">
        <v>49.5</v>
      </c>
      <c r="E191" s="2">
        <v>122</v>
      </c>
      <c r="F191" s="2">
        <v>125</v>
      </c>
    </row>
    <row r="192" spans="1:6" x14ac:dyDescent="0.3">
      <c r="A192" s="2" t="s">
        <v>968</v>
      </c>
      <c r="B192" s="2" t="s">
        <v>350</v>
      </c>
      <c r="C192" s="2" t="s">
        <v>724</v>
      </c>
      <c r="D192" s="7">
        <v>50.5</v>
      </c>
      <c r="E192" s="2">
        <v>170</v>
      </c>
      <c r="F192" s="2">
        <v>163</v>
      </c>
    </row>
    <row r="193" spans="1:6" x14ac:dyDescent="0.3">
      <c r="A193" s="2" t="s">
        <v>969</v>
      </c>
      <c r="B193" s="2" t="s">
        <v>352</v>
      </c>
      <c r="C193" s="2" t="s">
        <v>699</v>
      </c>
      <c r="D193" s="7">
        <v>45.8</v>
      </c>
      <c r="E193" s="2">
        <v>174</v>
      </c>
      <c r="F193" s="2">
        <v>113</v>
      </c>
    </row>
    <row r="194" spans="1:6" x14ac:dyDescent="0.3">
      <c r="A194" s="2" t="s">
        <v>970</v>
      </c>
      <c r="B194" s="2" t="s">
        <v>352</v>
      </c>
      <c r="C194" s="2" t="s">
        <v>701</v>
      </c>
      <c r="D194" s="7">
        <v>24</v>
      </c>
      <c r="E194" s="2">
        <v>146</v>
      </c>
      <c r="F194" s="2">
        <v>156</v>
      </c>
    </row>
    <row r="195" spans="1:6" x14ac:dyDescent="0.3">
      <c r="A195" s="2" t="s">
        <v>971</v>
      </c>
      <c r="B195" s="2" t="s">
        <v>352</v>
      </c>
      <c r="C195" s="2" t="s">
        <v>740</v>
      </c>
      <c r="D195" s="7">
        <v>30.3</v>
      </c>
      <c r="E195" s="2">
        <v>82</v>
      </c>
      <c r="F195" s="2">
        <v>145</v>
      </c>
    </row>
    <row r="196" spans="1:6" x14ac:dyDescent="0.3">
      <c r="A196" s="2" t="s">
        <v>972</v>
      </c>
      <c r="B196" s="2" t="s">
        <v>354</v>
      </c>
      <c r="C196" s="2" t="s">
        <v>750</v>
      </c>
      <c r="D196" s="7">
        <v>34.9</v>
      </c>
      <c r="E196" s="2">
        <v>123</v>
      </c>
      <c r="F196" s="2">
        <v>165</v>
      </c>
    </row>
    <row r="197" spans="1:6" x14ac:dyDescent="0.3">
      <c r="A197" s="2" t="s">
        <v>973</v>
      </c>
      <c r="B197" s="2" t="s">
        <v>354</v>
      </c>
      <c r="C197" s="2" t="s">
        <v>677</v>
      </c>
      <c r="D197" s="7">
        <v>32.799999999999997</v>
      </c>
      <c r="E197" s="2">
        <v>147</v>
      </c>
      <c r="F197" s="2">
        <v>84</v>
      </c>
    </row>
    <row r="198" spans="1:6" x14ac:dyDescent="0.3">
      <c r="A198" s="2" t="s">
        <v>974</v>
      </c>
      <c r="B198" s="2" t="s">
        <v>354</v>
      </c>
      <c r="C198" s="2" t="s">
        <v>752</v>
      </c>
      <c r="D198" s="7">
        <v>32.4</v>
      </c>
      <c r="E198" s="2">
        <v>121</v>
      </c>
      <c r="F198" s="2">
        <v>50</v>
      </c>
    </row>
    <row r="199" spans="1:6" x14ac:dyDescent="0.3">
      <c r="A199" s="2" t="s">
        <v>975</v>
      </c>
      <c r="B199" s="2" t="s">
        <v>356</v>
      </c>
      <c r="C199" s="2" t="s">
        <v>724</v>
      </c>
      <c r="D199" s="7">
        <v>44.4</v>
      </c>
      <c r="E199" s="2">
        <v>63</v>
      </c>
      <c r="F199" s="2">
        <v>65</v>
      </c>
    </row>
    <row r="200" spans="1:6" x14ac:dyDescent="0.3">
      <c r="A200" s="2" t="s">
        <v>976</v>
      </c>
      <c r="B200" s="2" t="s">
        <v>356</v>
      </c>
      <c r="C200" s="2" t="s">
        <v>712</v>
      </c>
      <c r="D200" s="7">
        <v>55.6</v>
      </c>
      <c r="E200" s="2">
        <v>74</v>
      </c>
      <c r="F200" s="2">
        <v>148</v>
      </c>
    </row>
    <row r="201" spans="1:6" x14ac:dyDescent="0.3">
      <c r="A201" s="2" t="s">
        <v>977</v>
      </c>
      <c r="B201" s="2" t="s">
        <v>358</v>
      </c>
      <c r="C201" s="2" t="s">
        <v>734</v>
      </c>
      <c r="D201" s="7">
        <v>39.1</v>
      </c>
      <c r="E201" s="2">
        <v>79</v>
      </c>
      <c r="F201" s="2">
        <v>179</v>
      </c>
    </row>
    <row r="202" spans="1:6" x14ac:dyDescent="0.3">
      <c r="A202" s="2" t="s">
        <v>978</v>
      </c>
      <c r="B202" s="2" t="s">
        <v>358</v>
      </c>
      <c r="C202" s="2" t="s">
        <v>677</v>
      </c>
      <c r="D202" s="7">
        <v>27.5</v>
      </c>
      <c r="E202" s="2">
        <v>84</v>
      </c>
      <c r="F202" s="2">
        <v>62</v>
      </c>
    </row>
    <row r="203" spans="1:6" x14ac:dyDescent="0.3">
      <c r="A203" s="2" t="s">
        <v>979</v>
      </c>
      <c r="B203" s="2" t="s">
        <v>358</v>
      </c>
      <c r="C203" s="2" t="s">
        <v>746</v>
      </c>
      <c r="D203" s="7">
        <v>33.299999999999997</v>
      </c>
      <c r="E203" s="2">
        <v>162</v>
      </c>
      <c r="F203" s="2">
        <v>155</v>
      </c>
    </row>
    <row r="204" spans="1:6" x14ac:dyDescent="0.3">
      <c r="A204" s="2" t="s">
        <v>980</v>
      </c>
      <c r="B204" s="2" t="s">
        <v>360</v>
      </c>
      <c r="C204" s="2" t="s">
        <v>699</v>
      </c>
      <c r="D204" s="7">
        <v>27.2</v>
      </c>
      <c r="E204" s="2">
        <v>146</v>
      </c>
      <c r="F204" s="2">
        <v>78</v>
      </c>
    </row>
    <row r="205" spans="1:6" x14ac:dyDescent="0.3">
      <c r="A205" s="2" t="s">
        <v>981</v>
      </c>
      <c r="B205" s="2" t="s">
        <v>360</v>
      </c>
      <c r="C205" s="2" t="s">
        <v>770</v>
      </c>
      <c r="D205" s="7">
        <v>21</v>
      </c>
      <c r="E205" s="2">
        <v>84</v>
      </c>
      <c r="F205" s="2">
        <v>130</v>
      </c>
    </row>
    <row r="206" spans="1:6" x14ac:dyDescent="0.3">
      <c r="A206" s="2" t="s">
        <v>982</v>
      </c>
      <c r="B206" s="2" t="s">
        <v>360</v>
      </c>
      <c r="C206" s="2" t="s">
        <v>707</v>
      </c>
      <c r="D206" s="7">
        <v>26.9</v>
      </c>
      <c r="E206" s="2">
        <v>105</v>
      </c>
      <c r="F206" s="2">
        <v>124</v>
      </c>
    </row>
    <row r="207" spans="1:6" x14ac:dyDescent="0.3">
      <c r="A207" s="2" t="s">
        <v>983</v>
      </c>
      <c r="B207" s="2" t="s">
        <v>360</v>
      </c>
      <c r="C207" s="2" t="s">
        <v>736</v>
      </c>
      <c r="D207" s="7">
        <v>24.9</v>
      </c>
      <c r="E207" s="2">
        <v>85</v>
      </c>
      <c r="F207" s="2">
        <v>176</v>
      </c>
    </row>
    <row r="208" spans="1:6" x14ac:dyDescent="0.3">
      <c r="A208" s="2" t="s">
        <v>984</v>
      </c>
      <c r="B208" s="2" t="s">
        <v>362</v>
      </c>
      <c r="C208" s="2" t="s">
        <v>764</v>
      </c>
      <c r="D208" s="7">
        <v>56.7</v>
      </c>
      <c r="E208" s="2">
        <v>64</v>
      </c>
      <c r="F208" s="2">
        <v>97</v>
      </c>
    </row>
    <row r="209" spans="1:6" x14ac:dyDescent="0.3">
      <c r="A209" s="2" t="s">
        <v>985</v>
      </c>
      <c r="B209" s="2" t="s">
        <v>362</v>
      </c>
      <c r="C209" s="2" t="s">
        <v>716</v>
      </c>
      <c r="D209" s="7">
        <v>43.3</v>
      </c>
      <c r="E209" s="2">
        <v>155</v>
      </c>
      <c r="F209" s="2">
        <v>52</v>
      </c>
    </row>
    <row r="210" spans="1:6" x14ac:dyDescent="0.3">
      <c r="A210" s="2" t="s">
        <v>986</v>
      </c>
      <c r="B210" s="2" t="s">
        <v>364</v>
      </c>
      <c r="C210" s="2" t="s">
        <v>701</v>
      </c>
      <c r="D210" s="7">
        <v>25.1</v>
      </c>
      <c r="E210" s="2">
        <v>148</v>
      </c>
      <c r="F210" s="2">
        <v>105</v>
      </c>
    </row>
    <row r="211" spans="1:6" x14ac:dyDescent="0.3">
      <c r="A211" s="2" t="s">
        <v>987</v>
      </c>
      <c r="B211" s="2" t="s">
        <v>364</v>
      </c>
      <c r="C211" s="2" t="s">
        <v>734</v>
      </c>
      <c r="D211" s="7">
        <v>13.5</v>
      </c>
      <c r="E211" s="2">
        <v>153</v>
      </c>
      <c r="F211" s="2">
        <v>142</v>
      </c>
    </row>
    <row r="212" spans="1:6" x14ac:dyDescent="0.3">
      <c r="A212" s="2" t="s">
        <v>988</v>
      </c>
      <c r="B212" s="2" t="s">
        <v>364</v>
      </c>
      <c r="C212" s="2" t="s">
        <v>742</v>
      </c>
      <c r="D212" s="7">
        <v>31</v>
      </c>
      <c r="E212" s="2">
        <v>143</v>
      </c>
      <c r="F212" s="2">
        <v>134</v>
      </c>
    </row>
    <row r="213" spans="1:6" x14ac:dyDescent="0.3">
      <c r="A213" s="2" t="s">
        <v>989</v>
      </c>
      <c r="B213" s="2" t="s">
        <v>364</v>
      </c>
      <c r="C213" s="2" t="s">
        <v>703</v>
      </c>
      <c r="D213" s="7">
        <v>30.4</v>
      </c>
      <c r="E213" s="2">
        <v>120</v>
      </c>
      <c r="F213" s="2">
        <v>71</v>
      </c>
    </row>
    <row r="214" spans="1:6" x14ac:dyDescent="0.3">
      <c r="A214" s="2" t="s">
        <v>990</v>
      </c>
      <c r="B214" s="2" t="s">
        <v>366</v>
      </c>
      <c r="C214" s="2" t="s">
        <v>752</v>
      </c>
      <c r="D214" s="7">
        <v>56.5</v>
      </c>
      <c r="E214" s="2">
        <v>92</v>
      </c>
      <c r="F214" s="2">
        <v>77</v>
      </c>
    </row>
    <row r="215" spans="1:6" x14ac:dyDescent="0.3">
      <c r="A215" s="2" t="s">
        <v>991</v>
      </c>
      <c r="B215" s="2" t="s">
        <v>366</v>
      </c>
      <c r="C215" s="2" t="s">
        <v>760</v>
      </c>
      <c r="D215" s="7">
        <v>43.5</v>
      </c>
      <c r="E215" s="2">
        <v>165</v>
      </c>
      <c r="F215" s="2">
        <v>154</v>
      </c>
    </row>
    <row r="216" spans="1:6" x14ac:dyDescent="0.3">
      <c r="A216" s="2" t="s">
        <v>992</v>
      </c>
      <c r="B216" s="2" t="s">
        <v>368</v>
      </c>
      <c r="C216" s="2" t="s">
        <v>752</v>
      </c>
      <c r="D216" s="7">
        <v>20.100000000000001</v>
      </c>
      <c r="E216" s="2">
        <v>124</v>
      </c>
      <c r="F216" s="2">
        <v>162</v>
      </c>
    </row>
    <row r="217" spans="1:6" x14ac:dyDescent="0.3">
      <c r="A217" s="2" t="s">
        <v>993</v>
      </c>
      <c r="B217" s="2" t="s">
        <v>368</v>
      </c>
      <c r="C217" s="2" t="s">
        <v>705</v>
      </c>
      <c r="D217" s="7">
        <v>21.9</v>
      </c>
      <c r="E217" s="2">
        <v>83</v>
      </c>
      <c r="F217" s="2">
        <v>177</v>
      </c>
    </row>
    <row r="218" spans="1:6" x14ac:dyDescent="0.3">
      <c r="A218" s="2" t="s">
        <v>994</v>
      </c>
      <c r="B218" s="2" t="s">
        <v>368</v>
      </c>
      <c r="C218" s="2" t="s">
        <v>744</v>
      </c>
      <c r="D218" s="7">
        <v>24.7</v>
      </c>
      <c r="E218" s="2">
        <v>106</v>
      </c>
      <c r="F218" s="2">
        <v>132</v>
      </c>
    </row>
    <row r="219" spans="1:6" x14ac:dyDescent="0.3">
      <c r="A219" s="2" t="s">
        <v>995</v>
      </c>
      <c r="B219" s="2" t="s">
        <v>368</v>
      </c>
      <c r="C219" s="2" t="s">
        <v>722</v>
      </c>
      <c r="D219" s="7">
        <v>33.299999999999997</v>
      </c>
      <c r="E219" s="2">
        <v>145</v>
      </c>
      <c r="F219" s="2">
        <v>112</v>
      </c>
    </row>
    <row r="220" spans="1:6" x14ac:dyDescent="0.3">
      <c r="A220" s="2" t="s">
        <v>996</v>
      </c>
      <c r="B220" s="2" t="s">
        <v>370</v>
      </c>
      <c r="C220" s="2" t="s">
        <v>736</v>
      </c>
      <c r="D220" s="7">
        <v>53.8</v>
      </c>
      <c r="E220" s="2">
        <v>139</v>
      </c>
      <c r="F220" s="2">
        <v>114</v>
      </c>
    </row>
    <row r="221" spans="1:6" x14ac:dyDescent="0.3">
      <c r="A221" s="2" t="s">
        <v>997</v>
      </c>
      <c r="B221" s="2" t="s">
        <v>370</v>
      </c>
      <c r="C221" s="2" t="s">
        <v>762</v>
      </c>
      <c r="D221" s="7">
        <v>46.2</v>
      </c>
      <c r="E221" s="2">
        <v>159</v>
      </c>
      <c r="F221" s="2">
        <v>123</v>
      </c>
    </row>
    <row r="222" spans="1:6" x14ac:dyDescent="0.3">
      <c r="A222" s="2" t="s">
        <v>998</v>
      </c>
      <c r="B222" s="2" t="s">
        <v>372</v>
      </c>
      <c r="C222" s="2" t="s">
        <v>762</v>
      </c>
      <c r="D222" s="7">
        <v>19.399999999999999</v>
      </c>
      <c r="E222" s="2">
        <v>146</v>
      </c>
      <c r="F222" s="2">
        <v>87</v>
      </c>
    </row>
    <row r="223" spans="1:6" x14ac:dyDescent="0.3">
      <c r="A223" s="2" t="s">
        <v>999</v>
      </c>
      <c r="B223" s="2" t="s">
        <v>372</v>
      </c>
      <c r="C223" s="2" t="s">
        <v>738</v>
      </c>
      <c r="D223" s="7">
        <v>36.299999999999997</v>
      </c>
      <c r="E223" s="2">
        <v>178</v>
      </c>
      <c r="F223" s="2">
        <v>127</v>
      </c>
    </row>
    <row r="224" spans="1:6" x14ac:dyDescent="0.3">
      <c r="A224" s="2" t="s">
        <v>1000</v>
      </c>
      <c r="B224" s="2" t="s">
        <v>372</v>
      </c>
      <c r="C224" s="2" t="s">
        <v>697</v>
      </c>
      <c r="D224" s="7">
        <v>44.3</v>
      </c>
      <c r="E224" s="2">
        <v>88</v>
      </c>
      <c r="F224" s="2">
        <v>84</v>
      </c>
    </row>
    <row r="225" spans="1:6" x14ac:dyDescent="0.3">
      <c r="A225" s="2" t="s">
        <v>1001</v>
      </c>
      <c r="B225" s="2" t="s">
        <v>374</v>
      </c>
      <c r="C225" s="2" t="s">
        <v>756</v>
      </c>
      <c r="D225" s="7">
        <v>37</v>
      </c>
      <c r="E225" s="2">
        <v>149</v>
      </c>
      <c r="F225" s="2">
        <v>123</v>
      </c>
    </row>
    <row r="226" spans="1:6" x14ac:dyDescent="0.3">
      <c r="A226" s="2" t="s">
        <v>1002</v>
      </c>
      <c r="B226" s="2" t="s">
        <v>374</v>
      </c>
      <c r="C226" s="2" t="s">
        <v>754</v>
      </c>
      <c r="D226" s="7">
        <v>25.2</v>
      </c>
      <c r="E226" s="2">
        <v>84</v>
      </c>
      <c r="F226" s="2">
        <v>150</v>
      </c>
    </row>
    <row r="227" spans="1:6" x14ac:dyDescent="0.3">
      <c r="A227" s="2" t="s">
        <v>1003</v>
      </c>
      <c r="B227" s="2" t="s">
        <v>374</v>
      </c>
      <c r="C227" s="2" t="s">
        <v>752</v>
      </c>
      <c r="D227" s="7">
        <v>37.9</v>
      </c>
      <c r="E227" s="2">
        <v>107</v>
      </c>
      <c r="F227" s="2">
        <v>166</v>
      </c>
    </row>
    <row r="228" spans="1:6" x14ac:dyDescent="0.3">
      <c r="A228" s="2" t="s">
        <v>1004</v>
      </c>
      <c r="B228" s="2" t="s">
        <v>376</v>
      </c>
      <c r="C228" s="2" t="s">
        <v>738</v>
      </c>
      <c r="D228" s="7">
        <v>46.3</v>
      </c>
      <c r="E228" s="2">
        <v>151</v>
      </c>
      <c r="F228" s="2">
        <v>68</v>
      </c>
    </row>
    <row r="229" spans="1:6" x14ac:dyDescent="0.3">
      <c r="A229" s="2" t="s">
        <v>1005</v>
      </c>
      <c r="B229" s="2" t="s">
        <v>376</v>
      </c>
      <c r="C229" s="2" t="s">
        <v>712</v>
      </c>
      <c r="D229" s="7">
        <v>28.9</v>
      </c>
      <c r="E229" s="2">
        <v>149</v>
      </c>
      <c r="F229" s="2">
        <v>75</v>
      </c>
    </row>
    <row r="230" spans="1:6" x14ac:dyDescent="0.3">
      <c r="A230" s="2" t="s">
        <v>1006</v>
      </c>
      <c r="B230" s="2" t="s">
        <v>376</v>
      </c>
      <c r="C230" s="2" t="s">
        <v>720</v>
      </c>
      <c r="D230" s="7">
        <v>24.8</v>
      </c>
      <c r="E230" s="2">
        <v>148</v>
      </c>
      <c r="F230" s="2">
        <v>141</v>
      </c>
    </row>
    <row r="231" spans="1:6" x14ac:dyDescent="0.3">
      <c r="A231" s="2" t="s">
        <v>1007</v>
      </c>
      <c r="B231" s="2" t="s">
        <v>378</v>
      </c>
      <c r="C231" s="2" t="s">
        <v>707</v>
      </c>
      <c r="D231" s="7">
        <v>36.700000000000003</v>
      </c>
      <c r="E231" s="2">
        <v>61</v>
      </c>
      <c r="F231" s="2">
        <v>157</v>
      </c>
    </row>
    <row r="232" spans="1:6" x14ac:dyDescent="0.3">
      <c r="A232" s="2" t="s">
        <v>1008</v>
      </c>
      <c r="B232" s="2" t="s">
        <v>378</v>
      </c>
      <c r="C232" s="2" t="s">
        <v>722</v>
      </c>
      <c r="D232" s="7">
        <v>24.6</v>
      </c>
      <c r="E232" s="2">
        <v>89</v>
      </c>
      <c r="F232" s="2">
        <v>98</v>
      </c>
    </row>
    <row r="233" spans="1:6" x14ac:dyDescent="0.3">
      <c r="A233" s="2" t="s">
        <v>1009</v>
      </c>
      <c r="B233" s="2" t="s">
        <v>378</v>
      </c>
      <c r="C233" s="2" t="s">
        <v>718</v>
      </c>
      <c r="D233" s="7">
        <v>38.700000000000003</v>
      </c>
      <c r="E233" s="2">
        <v>71</v>
      </c>
      <c r="F233" s="2">
        <v>93</v>
      </c>
    </row>
    <row r="234" spans="1:6" x14ac:dyDescent="0.3">
      <c r="A234" s="2" t="s">
        <v>1010</v>
      </c>
      <c r="B234" s="2" t="s">
        <v>380</v>
      </c>
      <c r="C234" s="2" t="s">
        <v>677</v>
      </c>
      <c r="D234" s="7">
        <v>42.8</v>
      </c>
      <c r="E234" s="2">
        <v>143</v>
      </c>
      <c r="F234" s="2">
        <v>102</v>
      </c>
    </row>
    <row r="235" spans="1:6" x14ac:dyDescent="0.3">
      <c r="A235" s="2" t="s">
        <v>1011</v>
      </c>
      <c r="B235" s="2" t="s">
        <v>380</v>
      </c>
      <c r="C235" s="2" t="s">
        <v>756</v>
      </c>
      <c r="D235" s="7">
        <v>31.2</v>
      </c>
      <c r="E235" s="2">
        <v>166</v>
      </c>
      <c r="F235" s="2">
        <v>150</v>
      </c>
    </row>
    <row r="236" spans="1:6" x14ac:dyDescent="0.3">
      <c r="A236" s="2" t="s">
        <v>1012</v>
      </c>
      <c r="B236" s="2" t="s">
        <v>380</v>
      </c>
      <c r="C236" s="2" t="s">
        <v>695</v>
      </c>
      <c r="D236" s="7">
        <v>26</v>
      </c>
      <c r="E236" s="2">
        <v>107</v>
      </c>
      <c r="F236" s="2">
        <v>118</v>
      </c>
    </row>
    <row r="237" spans="1:6" x14ac:dyDescent="0.3">
      <c r="A237" s="2" t="s">
        <v>1013</v>
      </c>
      <c r="B237" s="2" t="s">
        <v>382</v>
      </c>
      <c r="C237" s="2" t="s">
        <v>720</v>
      </c>
      <c r="D237" s="7">
        <v>33</v>
      </c>
      <c r="E237" s="2">
        <v>78</v>
      </c>
      <c r="F237" s="2">
        <v>179</v>
      </c>
    </row>
    <row r="238" spans="1:6" x14ac:dyDescent="0.3">
      <c r="A238" s="2" t="s">
        <v>1014</v>
      </c>
      <c r="B238" s="2" t="s">
        <v>382</v>
      </c>
      <c r="C238" s="2" t="s">
        <v>762</v>
      </c>
      <c r="D238" s="7">
        <v>67</v>
      </c>
      <c r="E238" s="2">
        <v>71</v>
      </c>
      <c r="F238" s="2">
        <v>130</v>
      </c>
    </row>
    <row r="239" spans="1:6" x14ac:dyDescent="0.3">
      <c r="A239" s="2" t="s">
        <v>1015</v>
      </c>
      <c r="B239" s="2" t="s">
        <v>384</v>
      </c>
      <c r="C239" s="2" t="s">
        <v>691</v>
      </c>
      <c r="D239" s="7">
        <v>21.1</v>
      </c>
      <c r="E239" s="2">
        <v>80</v>
      </c>
      <c r="F239" s="2">
        <v>119</v>
      </c>
    </row>
    <row r="240" spans="1:6" x14ac:dyDescent="0.3">
      <c r="A240" s="2" t="s">
        <v>1016</v>
      </c>
      <c r="B240" s="2" t="s">
        <v>384</v>
      </c>
      <c r="C240" s="2" t="s">
        <v>746</v>
      </c>
      <c r="D240" s="7">
        <v>28</v>
      </c>
      <c r="E240" s="2">
        <v>144</v>
      </c>
      <c r="F240" s="2">
        <v>106</v>
      </c>
    </row>
    <row r="241" spans="1:6" x14ac:dyDescent="0.3">
      <c r="A241" s="2" t="s">
        <v>1017</v>
      </c>
      <c r="B241" s="2" t="s">
        <v>384</v>
      </c>
      <c r="C241" s="2" t="s">
        <v>716</v>
      </c>
      <c r="D241" s="7">
        <v>17.600000000000001</v>
      </c>
      <c r="E241" s="2">
        <v>98</v>
      </c>
      <c r="F241" s="2">
        <v>82</v>
      </c>
    </row>
    <row r="242" spans="1:6" x14ac:dyDescent="0.3">
      <c r="A242" s="2" t="s">
        <v>1018</v>
      </c>
      <c r="B242" s="2" t="s">
        <v>384</v>
      </c>
      <c r="C242" s="2" t="s">
        <v>685</v>
      </c>
      <c r="D242" s="7">
        <v>33.299999999999997</v>
      </c>
      <c r="E242" s="2">
        <v>118</v>
      </c>
      <c r="F242" s="2">
        <v>67</v>
      </c>
    </row>
    <row r="243" spans="1:6" x14ac:dyDescent="0.3">
      <c r="A243" s="2" t="s">
        <v>1019</v>
      </c>
      <c r="B243" s="2" t="s">
        <v>386</v>
      </c>
      <c r="C243" s="2" t="s">
        <v>699</v>
      </c>
      <c r="D243" s="7">
        <v>46.5</v>
      </c>
      <c r="E243" s="2">
        <v>72</v>
      </c>
      <c r="F243" s="2">
        <v>89</v>
      </c>
    </row>
    <row r="244" spans="1:6" x14ac:dyDescent="0.3">
      <c r="A244" s="2" t="s">
        <v>1020</v>
      </c>
      <c r="B244" s="2" t="s">
        <v>386</v>
      </c>
      <c r="C244" s="2" t="s">
        <v>693</v>
      </c>
      <c r="D244" s="7">
        <v>53.5</v>
      </c>
      <c r="E244" s="2">
        <v>148</v>
      </c>
      <c r="F244" s="2">
        <v>117</v>
      </c>
    </row>
    <row r="245" spans="1:6" x14ac:dyDescent="0.3">
      <c r="A245" s="2" t="s">
        <v>1021</v>
      </c>
      <c r="B245" s="2" t="s">
        <v>388</v>
      </c>
      <c r="C245" s="2" t="s">
        <v>762</v>
      </c>
      <c r="D245" s="7">
        <v>17.899999999999999</v>
      </c>
      <c r="E245" s="2">
        <v>111</v>
      </c>
      <c r="F245" s="2">
        <v>126</v>
      </c>
    </row>
    <row r="246" spans="1:6" x14ac:dyDescent="0.3">
      <c r="A246" s="2" t="s">
        <v>1022</v>
      </c>
      <c r="B246" s="2" t="s">
        <v>388</v>
      </c>
      <c r="C246" s="2" t="s">
        <v>709</v>
      </c>
      <c r="D246" s="7">
        <v>15.9</v>
      </c>
      <c r="E246" s="2">
        <v>100</v>
      </c>
      <c r="F246" s="2">
        <v>159</v>
      </c>
    </row>
    <row r="247" spans="1:6" x14ac:dyDescent="0.3">
      <c r="A247" s="2" t="s">
        <v>1023</v>
      </c>
      <c r="B247" s="2" t="s">
        <v>388</v>
      </c>
      <c r="C247" s="2" t="s">
        <v>736</v>
      </c>
      <c r="D247" s="7">
        <v>33.299999999999997</v>
      </c>
      <c r="E247" s="2">
        <v>109</v>
      </c>
      <c r="F247" s="2">
        <v>155</v>
      </c>
    </row>
    <row r="248" spans="1:6" x14ac:dyDescent="0.3">
      <c r="A248" s="2" t="s">
        <v>1024</v>
      </c>
      <c r="B248" s="2" t="s">
        <v>388</v>
      </c>
      <c r="C248" s="2" t="s">
        <v>699</v>
      </c>
      <c r="D248" s="7">
        <v>33</v>
      </c>
      <c r="E248" s="2">
        <v>179</v>
      </c>
      <c r="F248" s="2">
        <v>176</v>
      </c>
    </row>
    <row r="249" spans="1:6" x14ac:dyDescent="0.3">
      <c r="A249" s="2" t="s">
        <v>1025</v>
      </c>
      <c r="B249" s="2" t="s">
        <v>390</v>
      </c>
      <c r="C249" s="2" t="s">
        <v>768</v>
      </c>
      <c r="D249" s="7">
        <v>26</v>
      </c>
      <c r="E249" s="2">
        <v>101</v>
      </c>
      <c r="F249" s="2">
        <v>117</v>
      </c>
    </row>
    <row r="250" spans="1:6" x14ac:dyDescent="0.3">
      <c r="A250" s="2" t="s">
        <v>1026</v>
      </c>
      <c r="B250" s="2" t="s">
        <v>390</v>
      </c>
      <c r="C250" s="2" t="s">
        <v>766</v>
      </c>
      <c r="D250" s="7">
        <v>22.3</v>
      </c>
      <c r="E250" s="2">
        <v>112</v>
      </c>
      <c r="F250" s="2">
        <v>82</v>
      </c>
    </row>
    <row r="251" spans="1:6" x14ac:dyDescent="0.3">
      <c r="A251" s="2" t="s">
        <v>1027</v>
      </c>
      <c r="B251" s="2" t="s">
        <v>390</v>
      </c>
      <c r="C251" s="2" t="s">
        <v>681</v>
      </c>
      <c r="D251" s="7">
        <v>26.1</v>
      </c>
      <c r="E251" s="2">
        <v>130</v>
      </c>
      <c r="F251" s="2">
        <v>105</v>
      </c>
    </row>
    <row r="252" spans="1:6" x14ac:dyDescent="0.3">
      <c r="A252" s="2" t="s">
        <v>1028</v>
      </c>
      <c r="B252" s="2" t="s">
        <v>390</v>
      </c>
      <c r="C252" s="2" t="s">
        <v>730</v>
      </c>
      <c r="D252" s="7">
        <v>25.6</v>
      </c>
      <c r="E252" s="2">
        <v>164</v>
      </c>
      <c r="F252" s="2">
        <v>150</v>
      </c>
    </row>
    <row r="253" spans="1:6" x14ac:dyDescent="0.3">
      <c r="A253" s="2" t="s">
        <v>1029</v>
      </c>
      <c r="B253" s="2" t="s">
        <v>392</v>
      </c>
      <c r="C253" s="2" t="s">
        <v>736</v>
      </c>
      <c r="D253" s="7">
        <v>18.600000000000001</v>
      </c>
      <c r="E253" s="2">
        <v>121</v>
      </c>
      <c r="F253" s="2">
        <v>87</v>
      </c>
    </row>
    <row r="254" spans="1:6" x14ac:dyDescent="0.3">
      <c r="A254" s="2" t="s">
        <v>1030</v>
      </c>
      <c r="B254" s="2" t="s">
        <v>392</v>
      </c>
      <c r="C254" s="2" t="s">
        <v>750</v>
      </c>
      <c r="D254" s="7">
        <v>20.8</v>
      </c>
      <c r="E254" s="2">
        <v>82</v>
      </c>
      <c r="F254" s="2">
        <v>108</v>
      </c>
    </row>
    <row r="255" spans="1:6" x14ac:dyDescent="0.3">
      <c r="A255" s="2" t="s">
        <v>1031</v>
      </c>
      <c r="B255" s="2" t="s">
        <v>392</v>
      </c>
      <c r="C255" s="2" t="s">
        <v>693</v>
      </c>
      <c r="D255" s="7">
        <v>20</v>
      </c>
      <c r="E255" s="2">
        <v>132</v>
      </c>
      <c r="F255" s="2">
        <v>117</v>
      </c>
    </row>
    <row r="256" spans="1:6" x14ac:dyDescent="0.3">
      <c r="A256" s="2" t="s">
        <v>1032</v>
      </c>
      <c r="B256" s="2" t="s">
        <v>392</v>
      </c>
      <c r="C256" s="2" t="s">
        <v>722</v>
      </c>
      <c r="D256" s="7">
        <v>19.399999999999999</v>
      </c>
      <c r="E256" s="2">
        <v>130</v>
      </c>
      <c r="F256" s="2">
        <v>179</v>
      </c>
    </row>
    <row r="257" spans="1:6" x14ac:dyDescent="0.3">
      <c r="A257" s="2" t="s">
        <v>1033</v>
      </c>
      <c r="B257" s="2" t="s">
        <v>392</v>
      </c>
      <c r="C257" s="2" t="s">
        <v>677</v>
      </c>
      <c r="D257" s="7">
        <v>21.3</v>
      </c>
      <c r="E257" s="2">
        <v>108</v>
      </c>
      <c r="F257" s="2">
        <v>175</v>
      </c>
    </row>
    <row r="258" spans="1:6" x14ac:dyDescent="0.3">
      <c r="A258" s="2" t="s">
        <v>1034</v>
      </c>
      <c r="B258" s="2" t="s">
        <v>394</v>
      </c>
      <c r="C258" s="2" t="s">
        <v>701</v>
      </c>
      <c r="D258" s="7">
        <v>44.8</v>
      </c>
      <c r="E258" s="2">
        <v>93</v>
      </c>
      <c r="F258" s="2">
        <v>118</v>
      </c>
    </row>
    <row r="259" spans="1:6" x14ac:dyDescent="0.3">
      <c r="A259" s="2" t="s">
        <v>1035</v>
      </c>
      <c r="B259" s="2" t="s">
        <v>394</v>
      </c>
      <c r="C259" s="2" t="s">
        <v>693</v>
      </c>
      <c r="D259" s="7">
        <v>55.2</v>
      </c>
      <c r="E259" s="2">
        <v>114</v>
      </c>
      <c r="F259" s="2">
        <v>59</v>
      </c>
    </row>
    <row r="260" spans="1:6" x14ac:dyDescent="0.3">
      <c r="A260" s="2" t="s">
        <v>1036</v>
      </c>
      <c r="B260" s="2" t="s">
        <v>396</v>
      </c>
      <c r="C260" s="2" t="s">
        <v>762</v>
      </c>
      <c r="D260" s="7">
        <v>37.5</v>
      </c>
      <c r="E260" s="2">
        <v>84</v>
      </c>
      <c r="F260" s="2">
        <v>54</v>
      </c>
    </row>
    <row r="261" spans="1:6" x14ac:dyDescent="0.3">
      <c r="A261" s="2" t="s">
        <v>1037</v>
      </c>
      <c r="B261" s="2" t="s">
        <v>396</v>
      </c>
      <c r="C261" s="2" t="s">
        <v>750</v>
      </c>
      <c r="D261" s="7">
        <v>25.7</v>
      </c>
      <c r="E261" s="2">
        <v>179</v>
      </c>
      <c r="F261" s="2">
        <v>70</v>
      </c>
    </row>
    <row r="262" spans="1:6" x14ac:dyDescent="0.3">
      <c r="A262" s="2" t="s">
        <v>1038</v>
      </c>
      <c r="B262" s="2" t="s">
        <v>396</v>
      </c>
      <c r="C262" s="2" t="s">
        <v>734</v>
      </c>
      <c r="D262" s="7">
        <v>36.799999999999997</v>
      </c>
      <c r="E262" s="2">
        <v>77</v>
      </c>
      <c r="F262" s="2">
        <v>106</v>
      </c>
    </row>
    <row r="263" spans="1:6" x14ac:dyDescent="0.3">
      <c r="A263" s="2" t="s">
        <v>1039</v>
      </c>
      <c r="B263" s="2" t="s">
        <v>398</v>
      </c>
      <c r="C263" s="2" t="s">
        <v>697</v>
      </c>
      <c r="D263" s="7">
        <v>31.9</v>
      </c>
      <c r="E263" s="2">
        <v>63</v>
      </c>
      <c r="F263" s="2">
        <v>78</v>
      </c>
    </row>
    <row r="264" spans="1:6" x14ac:dyDescent="0.3">
      <c r="A264" s="2" t="s">
        <v>1040</v>
      </c>
      <c r="B264" s="2" t="s">
        <v>398</v>
      </c>
      <c r="C264" s="2" t="s">
        <v>742</v>
      </c>
      <c r="D264" s="7">
        <v>33.200000000000003</v>
      </c>
      <c r="E264" s="2">
        <v>132</v>
      </c>
      <c r="F264" s="2">
        <v>100</v>
      </c>
    </row>
    <row r="265" spans="1:6" x14ac:dyDescent="0.3">
      <c r="A265" s="2" t="s">
        <v>1041</v>
      </c>
      <c r="B265" s="2" t="s">
        <v>398</v>
      </c>
      <c r="C265" s="2" t="s">
        <v>703</v>
      </c>
      <c r="D265" s="7">
        <v>34.9</v>
      </c>
      <c r="E265" s="2">
        <v>83</v>
      </c>
      <c r="F265" s="2">
        <v>63</v>
      </c>
    </row>
    <row r="266" spans="1:6" x14ac:dyDescent="0.3">
      <c r="A266" s="2" t="s">
        <v>1042</v>
      </c>
      <c r="B266" s="2" t="s">
        <v>400</v>
      </c>
      <c r="C266" s="2" t="s">
        <v>697</v>
      </c>
      <c r="D266" s="7">
        <v>29.2</v>
      </c>
      <c r="E266" s="2">
        <v>77</v>
      </c>
      <c r="F266" s="2">
        <v>87</v>
      </c>
    </row>
    <row r="267" spans="1:6" x14ac:dyDescent="0.3">
      <c r="A267" s="2" t="s">
        <v>1043</v>
      </c>
      <c r="B267" s="2" t="s">
        <v>400</v>
      </c>
      <c r="C267" s="2" t="s">
        <v>772</v>
      </c>
      <c r="D267" s="7">
        <v>40.9</v>
      </c>
      <c r="E267" s="2">
        <v>118</v>
      </c>
      <c r="F267" s="2">
        <v>84</v>
      </c>
    </row>
    <row r="268" spans="1:6" x14ac:dyDescent="0.3">
      <c r="A268" s="2" t="s">
        <v>1044</v>
      </c>
      <c r="B268" s="2" t="s">
        <v>400</v>
      </c>
      <c r="C268" s="2" t="s">
        <v>688</v>
      </c>
      <c r="D268" s="7">
        <v>29.9</v>
      </c>
      <c r="E268" s="2">
        <v>141</v>
      </c>
      <c r="F268" s="2">
        <v>53</v>
      </c>
    </row>
    <row r="269" spans="1:6" x14ac:dyDescent="0.3">
      <c r="A269" s="2" t="s">
        <v>1045</v>
      </c>
      <c r="B269" s="2" t="s">
        <v>402</v>
      </c>
      <c r="C269" s="2" t="s">
        <v>703</v>
      </c>
      <c r="D269" s="7">
        <v>28.9</v>
      </c>
      <c r="E269" s="2">
        <v>137</v>
      </c>
      <c r="F269" s="2">
        <v>119</v>
      </c>
    </row>
    <row r="270" spans="1:6" x14ac:dyDescent="0.3">
      <c r="A270" s="2" t="s">
        <v>1046</v>
      </c>
      <c r="B270" s="2" t="s">
        <v>402</v>
      </c>
      <c r="C270" s="2" t="s">
        <v>697</v>
      </c>
      <c r="D270" s="7">
        <v>24.5</v>
      </c>
      <c r="E270" s="2">
        <v>109</v>
      </c>
      <c r="F270" s="2">
        <v>150</v>
      </c>
    </row>
    <row r="271" spans="1:6" x14ac:dyDescent="0.3">
      <c r="A271" s="2" t="s">
        <v>1047</v>
      </c>
      <c r="B271" s="2" t="s">
        <v>402</v>
      </c>
      <c r="C271" s="2" t="s">
        <v>707</v>
      </c>
      <c r="D271" s="7">
        <v>27.1</v>
      </c>
      <c r="E271" s="2">
        <v>173</v>
      </c>
      <c r="F271" s="2">
        <v>52</v>
      </c>
    </row>
    <row r="272" spans="1:6" x14ac:dyDescent="0.3">
      <c r="A272" s="2" t="s">
        <v>1048</v>
      </c>
      <c r="B272" s="2" t="s">
        <v>402</v>
      </c>
      <c r="C272" s="2" t="s">
        <v>736</v>
      </c>
      <c r="D272" s="7">
        <v>19.5</v>
      </c>
      <c r="E272" s="2">
        <v>145</v>
      </c>
      <c r="F272" s="2">
        <v>135</v>
      </c>
    </row>
    <row r="273" spans="1:6" x14ac:dyDescent="0.3">
      <c r="A273" s="2" t="s">
        <v>1049</v>
      </c>
      <c r="B273" s="2" t="s">
        <v>404</v>
      </c>
      <c r="C273" s="2" t="s">
        <v>768</v>
      </c>
      <c r="D273" s="7">
        <v>23.2</v>
      </c>
      <c r="E273" s="2">
        <v>149</v>
      </c>
      <c r="F273" s="2">
        <v>71</v>
      </c>
    </row>
    <row r="274" spans="1:6" x14ac:dyDescent="0.3">
      <c r="A274" s="2" t="s">
        <v>1050</v>
      </c>
      <c r="B274" s="2" t="s">
        <v>404</v>
      </c>
      <c r="C274" s="2" t="s">
        <v>760</v>
      </c>
      <c r="D274" s="7">
        <v>19</v>
      </c>
      <c r="E274" s="2">
        <v>170</v>
      </c>
      <c r="F274" s="2">
        <v>156</v>
      </c>
    </row>
    <row r="275" spans="1:6" x14ac:dyDescent="0.3">
      <c r="A275" s="2" t="s">
        <v>1051</v>
      </c>
      <c r="B275" s="2" t="s">
        <v>404</v>
      </c>
      <c r="C275" s="2" t="s">
        <v>764</v>
      </c>
      <c r="D275" s="7">
        <v>21.4</v>
      </c>
      <c r="E275" s="2">
        <v>114</v>
      </c>
      <c r="F275" s="2">
        <v>116</v>
      </c>
    </row>
    <row r="276" spans="1:6" x14ac:dyDescent="0.3">
      <c r="A276" s="2" t="s">
        <v>1052</v>
      </c>
      <c r="B276" s="2" t="s">
        <v>404</v>
      </c>
      <c r="C276" s="2" t="s">
        <v>738</v>
      </c>
      <c r="D276" s="7">
        <v>19</v>
      </c>
      <c r="E276" s="2">
        <v>158</v>
      </c>
      <c r="F276" s="2">
        <v>118</v>
      </c>
    </row>
    <row r="277" spans="1:6" x14ac:dyDescent="0.3">
      <c r="A277" s="2" t="s">
        <v>1053</v>
      </c>
      <c r="B277" s="2" t="s">
        <v>404</v>
      </c>
      <c r="C277" s="2" t="s">
        <v>712</v>
      </c>
      <c r="D277" s="7">
        <v>17.399999999999999</v>
      </c>
      <c r="E277" s="2">
        <v>143</v>
      </c>
      <c r="F277" s="2">
        <v>152</v>
      </c>
    </row>
    <row r="278" spans="1:6" x14ac:dyDescent="0.3">
      <c r="A278" s="2" t="s">
        <v>1054</v>
      </c>
      <c r="B278" s="2" t="s">
        <v>406</v>
      </c>
      <c r="C278" s="2" t="s">
        <v>744</v>
      </c>
      <c r="D278" s="7">
        <v>23.6</v>
      </c>
      <c r="E278" s="2">
        <v>92</v>
      </c>
      <c r="F278" s="2">
        <v>71</v>
      </c>
    </row>
    <row r="279" spans="1:6" x14ac:dyDescent="0.3">
      <c r="A279" s="2" t="s">
        <v>1055</v>
      </c>
      <c r="B279" s="2" t="s">
        <v>406</v>
      </c>
      <c r="C279" s="2" t="s">
        <v>732</v>
      </c>
      <c r="D279" s="7">
        <v>22.4</v>
      </c>
      <c r="E279" s="2">
        <v>173</v>
      </c>
      <c r="F279" s="2">
        <v>67</v>
      </c>
    </row>
    <row r="280" spans="1:6" x14ac:dyDescent="0.3">
      <c r="A280" s="2" t="s">
        <v>1056</v>
      </c>
      <c r="B280" s="2" t="s">
        <v>406</v>
      </c>
      <c r="C280" s="2" t="s">
        <v>754</v>
      </c>
      <c r="D280" s="7">
        <v>16.399999999999999</v>
      </c>
      <c r="E280" s="2">
        <v>97</v>
      </c>
      <c r="F280" s="2">
        <v>167</v>
      </c>
    </row>
    <row r="281" spans="1:6" x14ac:dyDescent="0.3">
      <c r="A281" s="2" t="s">
        <v>1057</v>
      </c>
      <c r="B281" s="2" t="s">
        <v>406</v>
      </c>
      <c r="C281" s="2" t="s">
        <v>688</v>
      </c>
      <c r="D281" s="7">
        <v>18.5</v>
      </c>
      <c r="E281" s="2">
        <v>176</v>
      </c>
      <c r="F281" s="2">
        <v>86</v>
      </c>
    </row>
    <row r="282" spans="1:6" x14ac:dyDescent="0.3">
      <c r="A282" s="2" t="s">
        <v>1058</v>
      </c>
      <c r="B282" s="2" t="s">
        <v>406</v>
      </c>
      <c r="C282" s="2" t="s">
        <v>760</v>
      </c>
      <c r="D282" s="7">
        <v>19</v>
      </c>
      <c r="E282" s="2">
        <v>153</v>
      </c>
      <c r="F282" s="2">
        <v>113</v>
      </c>
    </row>
    <row r="283" spans="1:6" x14ac:dyDescent="0.3">
      <c r="A283" s="2" t="s">
        <v>1059</v>
      </c>
      <c r="B283" s="2" t="s">
        <v>408</v>
      </c>
      <c r="C283" s="2" t="s">
        <v>744</v>
      </c>
      <c r="D283" s="7">
        <v>21.8</v>
      </c>
      <c r="E283" s="2">
        <v>86</v>
      </c>
      <c r="F283" s="2">
        <v>70</v>
      </c>
    </row>
    <row r="284" spans="1:6" x14ac:dyDescent="0.3">
      <c r="A284" s="2" t="s">
        <v>1060</v>
      </c>
      <c r="B284" s="2" t="s">
        <v>408</v>
      </c>
      <c r="C284" s="2" t="s">
        <v>716</v>
      </c>
      <c r="D284" s="7">
        <v>36.4</v>
      </c>
      <c r="E284" s="2">
        <v>98</v>
      </c>
      <c r="F284" s="2">
        <v>151</v>
      </c>
    </row>
    <row r="285" spans="1:6" x14ac:dyDescent="0.3">
      <c r="A285" s="2" t="s">
        <v>1061</v>
      </c>
      <c r="B285" s="2" t="s">
        <v>408</v>
      </c>
      <c r="C285" s="2" t="s">
        <v>677</v>
      </c>
      <c r="D285" s="7">
        <v>41.7</v>
      </c>
      <c r="E285" s="2">
        <v>105</v>
      </c>
      <c r="F285" s="2">
        <v>115</v>
      </c>
    </row>
    <row r="286" spans="1:6" x14ac:dyDescent="0.3">
      <c r="A286" s="2" t="s">
        <v>1062</v>
      </c>
      <c r="B286" s="2" t="s">
        <v>410</v>
      </c>
      <c r="C286" s="2" t="s">
        <v>697</v>
      </c>
      <c r="D286" s="7">
        <v>55.6</v>
      </c>
      <c r="E286" s="2">
        <v>75</v>
      </c>
      <c r="F286" s="2">
        <v>52</v>
      </c>
    </row>
    <row r="287" spans="1:6" x14ac:dyDescent="0.3">
      <c r="A287" s="2" t="s">
        <v>1063</v>
      </c>
      <c r="B287" s="2" t="s">
        <v>410</v>
      </c>
      <c r="C287" s="2" t="s">
        <v>726</v>
      </c>
      <c r="D287" s="7">
        <v>44.4</v>
      </c>
      <c r="E287" s="2">
        <v>111</v>
      </c>
      <c r="F287" s="2">
        <v>96</v>
      </c>
    </row>
    <row r="288" spans="1:6" x14ac:dyDescent="0.3">
      <c r="A288" s="2" t="s">
        <v>1064</v>
      </c>
      <c r="B288" s="2" t="s">
        <v>412</v>
      </c>
      <c r="C288" s="2" t="s">
        <v>744</v>
      </c>
      <c r="D288" s="7">
        <v>29.2</v>
      </c>
      <c r="E288" s="2">
        <v>176</v>
      </c>
      <c r="F288" s="2">
        <v>122</v>
      </c>
    </row>
    <row r="289" spans="1:6" x14ac:dyDescent="0.3">
      <c r="A289" s="2" t="s">
        <v>1065</v>
      </c>
      <c r="B289" s="2" t="s">
        <v>412</v>
      </c>
      <c r="C289" s="2" t="s">
        <v>685</v>
      </c>
      <c r="D289" s="7">
        <v>26.4</v>
      </c>
      <c r="E289" s="2">
        <v>180</v>
      </c>
      <c r="F289" s="2">
        <v>140</v>
      </c>
    </row>
    <row r="290" spans="1:6" x14ac:dyDescent="0.3">
      <c r="A290" s="2" t="s">
        <v>1066</v>
      </c>
      <c r="B290" s="2" t="s">
        <v>412</v>
      </c>
      <c r="C290" s="2" t="s">
        <v>766</v>
      </c>
      <c r="D290" s="7">
        <v>24.5</v>
      </c>
      <c r="E290" s="2">
        <v>147</v>
      </c>
      <c r="F290" s="2">
        <v>139</v>
      </c>
    </row>
    <row r="291" spans="1:6" x14ac:dyDescent="0.3">
      <c r="A291" s="2" t="s">
        <v>1067</v>
      </c>
      <c r="B291" s="2" t="s">
        <v>412</v>
      </c>
      <c r="C291" s="2" t="s">
        <v>764</v>
      </c>
      <c r="D291" s="7">
        <v>19.899999999999999</v>
      </c>
      <c r="E291" s="2">
        <v>88</v>
      </c>
      <c r="F291" s="2">
        <v>98</v>
      </c>
    </row>
    <row r="292" spans="1:6" x14ac:dyDescent="0.3">
      <c r="A292" s="2" t="s">
        <v>1068</v>
      </c>
      <c r="B292" s="2" t="s">
        <v>414</v>
      </c>
      <c r="C292" s="2" t="s">
        <v>716</v>
      </c>
      <c r="D292" s="7">
        <v>30.7</v>
      </c>
      <c r="E292" s="2">
        <v>167</v>
      </c>
      <c r="F292" s="2">
        <v>94</v>
      </c>
    </row>
    <row r="293" spans="1:6" x14ac:dyDescent="0.3">
      <c r="A293" s="2" t="s">
        <v>1069</v>
      </c>
      <c r="B293" s="2" t="s">
        <v>414</v>
      </c>
      <c r="C293" s="2" t="s">
        <v>766</v>
      </c>
      <c r="D293" s="7">
        <v>36.1</v>
      </c>
      <c r="E293" s="2">
        <v>85</v>
      </c>
      <c r="F293" s="2">
        <v>126</v>
      </c>
    </row>
    <row r="294" spans="1:6" x14ac:dyDescent="0.3">
      <c r="A294" s="2" t="s">
        <v>1070</v>
      </c>
      <c r="B294" s="2" t="s">
        <v>414</v>
      </c>
      <c r="C294" s="2" t="s">
        <v>714</v>
      </c>
      <c r="D294" s="7">
        <v>33.200000000000003</v>
      </c>
      <c r="E294" s="2">
        <v>124</v>
      </c>
      <c r="F294" s="2">
        <v>73</v>
      </c>
    </row>
    <row r="295" spans="1:6" x14ac:dyDescent="0.3">
      <c r="A295" s="2" t="s">
        <v>1071</v>
      </c>
      <c r="B295" s="2" t="s">
        <v>416</v>
      </c>
      <c r="C295" s="2" t="s">
        <v>693</v>
      </c>
      <c r="D295" s="7">
        <v>59.1</v>
      </c>
      <c r="E295" s="2">
        <v>79</v>
      </c>
      <c r="F295" s="2">
        <v>166</v>
      </c>
    </row>
    <row r="296" spans="1:6" x14ac:dyDescent="0.3">
      <c r="A296" s="2" t="s">
        <v>1072</v>
      </c>
      <c r="B296" s="2" t="s">
        <v>416</v>
      </c>
      <c r="C296" s="2" t="s">
        <v>768</v>
      </c>
      <c r="D296" s="7">
        <v>40.9</v>
      </c>
      <c r="E296" s="2">
        <v>95</v>
      </c>
      <c r="F296" s="2">
        <v>81</v>
      </c>
    </row>
    <row r="297" spans="1:6" x14ac:dyDescent="0.3">
      <c r="A297" s="2" t="s">
        <v>1073</v>
      </c>
      <c r="B297" s="2" t="s">
        <v>418</v>
      </c>
      <c r="C297" s="2" t="s">
        <v>738</v>
      </c>
      <c r="D297" s="7">
        <v>25.3</v>
      </c>
      <c r="E297" s="2">
        <v>66</v>
      </c>
      <c r="F297" s="2">
        <v>63</v>
      </c>
    </row>
    <row r="298" spans="1:6" x14ac:dyDescent="0.3">
      <c r="A298" s="2" t="s">
        <v>1074</v>
      </c>
      <c r="B298" s="2" t="s">
        <v>418</v>
      </c>
      <c r="C298" s="2" t="s">
        <v>770</v>
      </c>
      <c r="D298" s="7">
        <v>21.2</v>
      </c>
      <c r="E298" s="2">
        <v>178</v>
      </c>
      <c r="F298" s="2">
        <v>61</v>
      </c>
    </row>
    <row r="299" spans="1:6" x14ac:dyDescent="0.3">
      <c r="A299" s="2" t="s">
        <v>1075</v>
      </c>
      <c r="B299" s="2" t="s">
        <v>418</v>
      </c>
      <c r="C299" s="2" t="s">
        <v>693</v>
      </c>
      <c r="D299" s="7">
        <v>23.9</v>
      </c>
      <c r="E299" s="2">
        <v>158</v>
      </c>
      <c r="F299" s="2">
        <v>130</v>
      </c>
    </row>
    <row r="300" spans="1:6" x14ac:dyDescent="0.3">
      <c r="A300" s="2" t="s">
        <v>1076</v>
      </c>
      <c r="B300" s="2" t="s">
        <v>418</v>
      </c>
      <c r="C300" s="2" t="s">
        <v>697</v>
      </c>
      <c r="D300" s="7">
        <v>29.6</v>
      </c>
      <c r="E300" s="2">
        <v>165</v>
      </c>
      <c r="F300" s="2">
        <v>81</v>
      </c>
    </row>
    <row r="301" spans="1:6" x14ac:dyDescent="0.3">
      <c r="A301" s="2" t="s">
        <v>1077</v>
      </c>
      <c r="B301" s="2" t="s">
        <v>420</v>
      </c>
      <c r="C301" s="2" t="s">
        <v>726</v>
      </c>
      <c r="D301" s="7">
        <v>25.2</v>
      </c>
      <c r="E301" s="2">
        <v>177</v>
      </c>
      <c r="F301" s="2">
        <v>118</v>
      </c>
    </row>
    <row r="302" spans="1:6" x14ac:dyDescent="0.3">
      <c r="A302" s="2" t="s">
        <v>1078</v>
      </c>
      <c r="B302" s="2" t="s">
        <v>420</v>
      </c>
      <c r="C302" s="2" t="s">
        <v>697</v>
      </c>
      <c r="D302" s="7">
        <v>21.8</v>
      </c>
      <c r="E302" s="2">
        <v>90</v>
      </c>
      <c r="F302" s="2">
        <v>94</v>
      </c>
    </row>
    <row r="303" spans="1:6" x14ac:dyDescent="0.3">
      <c r="A303" s="2" t="s">
        <v>1079</v>
      </c>
      <c r="B303" s="2" t="s">
        <v>420</v>
      </c>
      <c r="C303" s="2" t="s">
        <v>728</v>
      </c>
      <c r="D303" s="7">
        <v>15.2</v>
      </c>
      <c r="E303" s="2">
        <v>68</v>
      </c>
      <c r="F303" s="2">
        <v>81</v>
      </c>
    </row>
    <row r="304" spans="1:6" x14ac:dyDescent="0.3">
      <c r="A304" s="2" t="s">
        <v>1080</v>
      </c>
      <c r="B304" s="2" t="s">
        <v>420</v>
      </c>
      <c r="C304" s="2" t="s">
        <v>750</v>
      </c>
      <c r="D304" s="7">
        <v>23.4</v>
      </c>
      <c r="E304" s="2">
        <v>92</v>
      </c>
      <c r="F304" s="2">
        <v>175</v>
      </c>
    </row>
    <row r="305" spans="1:6" x14ac:dyDescent="0.3">
      <c r="A305" s="2" t="s">
        <v>1081</v>
      </c>
      <c r="B305" s="2" t="s">
        <v>420</v>
      </c>
      <c r="C305" s="2" t="s">
        <v>722</v>
      </c>
      <c r="D305" s="7">
        <v>14.5</v>
      </c>
      <c r="E305" s="2">
        <v>126</v>
      </c>
      <c r="F305" s="2">
        <v>79</v>
      </c>
    </row>
    <row r="306" spans="1:6" x14ac:dyDescent="0.3">
      <c r="A306" s="2" t="s">
        <v>1082</v>
      </c>
      <c r="B306" s="2" t="s">
        <v>422</v>
      </c>
      <c r="C306" s="2" t="s">
        <v>756</v>
      </c>
      <c r="D306" s="7">
        <v>32.700000000000003</v>
      </c>
      <c r="E306" s="2">
        <v>119</v>
      </c>
      <c r="F306" s="2">
        <v>98</v>
      </c>
    </row>
    <row r="307" spans="1:6" x14ac:dyDescent="0.3">
      <c r="A307" s="2" t="s">
        <v>1083</v>
      </c>
      <c r="B307" s="2" t="s">
        <v>422</v>
      </c>
      <c r="C307" s="2" t="s">
        <v>730</v>
      </c>
      <c r="D307" s="7">
        <v>37.6</v>
      </c>
      <c r="E307" s="2">
        <v>101</v>
      </c>
      <c r="F307" s="2">
        <v>60</v>
      </c>
    </row>
    <row r="308" spans="1:6" x14ac:dyDescent="0.3">
      <c r="A308" s="2" t="s">
        <v>1084</v>
      </c>
      <c r="B308" s="2" t="s">
        <v>422</v>
      </c>
      <c r="C308" s="2" t="s">
        <v>714</v>
      </c>
      <c r="D308" s="7">
        <v>29.7</v>
      </c>
      <c r="E308" s="2">
        <v>162</v>
      </c>
      <c r="F308" s="2">
        <v>147</v>
      </c>
    </row>
    <row r="309" spans="1:6" x14ac:dyDescent="0.3">
      <c r="A309" s="2" t="s">
        <v>1085</v>
      </c>
      <c r="B309" s="2" t="s">
        <v>424</v>
      </c>
      <c r="C309" s="2" t="s">
        <v>688</v>
      </c>
      <c r="D309" s="7">
        <v>33.299999999999997</v>
      </c>
      <c r="E309" s="2">
        <v>156</v>
      </c>
      <c r="F309" s="2">
        <v>67</v>
      </c>
    </row>
    <row r="310" spans="1:6" x14ac:dyDescent="0.3">
      <c r="A310" s="2" t="s">
        <v>1086</v>
      </c>
      <c r="B310" s="2" t="s">
        <v>424</v>
      </c>
      <c r="C310" s="2" t="s">
        <v>709</v>
      </c>
      <c r="D310" s="7">
        <v>35.200000000000003</v>
      </c>
      <c r="E310" s="2">
        <v>173</v>
      </c>
      <c r="F310" s="2">
        <v>166</v>
      </c>
    </row>
    <row r="311" spans="1:6" x14ac:dyDescent="0.3">
      <c r="A311" s="2" t="s">
        <v>1087</v>
      </c>
      <c r="B311" s="2" t="s">
        <v>424</v>
      </c>
      <c r="C311" s="2" t="s">
        <v>685</v>
      </c>
      <c r="D311" s="7">
        <v>31.4</v>
      </c>
      <c r="E311" s="2">
        <v>89</v>
      </c>
      <c r="F311" s="2">
        <v>75</v>
      </c>
    </row>
    <row r="312" spans="1:6" x14ac:dyDescent="0.3">
      <c r="A312" s="2" t="s">
        <v>1088</v>
      </c>
      <c r="B312" s="2" t="s">
        <v>426</v>
      </c>
      <c r="C312" s="2" t="s">
        <v>703</v>
      </c>
      <c r="D312" s="7">
        <v>34.4</v>
      </c>
      <c r="E312" s="2">
        <v>94</v>
      </c>
      <c r="F312" s="2">
        <v>180</v>
      </c>
    </row>
    <row r="313" spans="1:6" x14ac:dyDescent="0.3">
      <c r="A313" s="2" t="s">
        <v>1089</v>
      </c>
      <c r="B313" s="2" t="s">
        <v>426</v>
      </c>
      <c r="C313" s="2" t="s">
        <v>754</v>
      </c>
      <c r="D313" s="7">
        <v>36.6</v>
      </c>
      <c r="E313" s="2">
        <v>165</v>
      </c>
      <c r="F313" s="2">
        <v>169</v>
      </c>
    </row>
    <row r="314" spans="1:6" x14ac:dyDescent="0.3">
      <c r="A314" s="2" t="s">
        <v>1090</v>
      </c>
      <c r="B314" s="2" t="s">
        <v>426</v>
      </c>
      <c r="C314" s="2" t="s">
        <v>742</v>
      </c>
      <c r="D314" s="7">
        <v>29.1</v>
      </c>
      <c r="E314" s="2">
        <v>118</v>
      </c>
      <c r="F314" s="2">
        <v>119</v>
      </c>
    </row>
    <row r="315" spans="1:6" x14ac:dyDescent="0.3">
      <c r="A315" s="2" t="s">
        <v>1091</v>
      </c>
      <c r="B315" s="2" t="s">
        <v>428</v>
      </c>
      <c r="C315" s="2" t="s">
        <v>772</v>
      </c>
      <c r="D315" s="7">
        <v>28.4</v>
      </c>
      <c r="E315" s="2">
        <v>137</v>
      </c>
      <c r="F315" s="2">
        <v>74</v>
      </c>
    </row>
    <row r="316" spans="1:6" x14ac:dyDescent="0.3">
      <c r="A316" s="2" t="s">
        <v>1092</v>
      </c>
      <c r="B316" s="2" t="s">
        <v>428</v>
      </c>
      <c r="C316" s="2" t="s">
        <v>754</v>
      </c>
      <c r="D316" s="7">
        <v>29.4</v>
      </c>
      <c r="E316" s="2">
        <v>107</v>
      </c>
      <c r="F316" s="2">
        <v>114</v>
      </c>
    </row>
    <row r="317" spans="1:6" x14ac:dyDescent="0.3">
      <c r="A317" s="2" t="s">
        <v>1093</v>
      </c>
      <c r="B317" s="2" t="s">
        <v>428</v>
      </c>
      <c r="C317" s="2" t="s">
        <v>695</v>
      </c>
      <c r="D317" s="7">
        <v>42.1</v>
      </c>
      <c r="E317" s="2">
        <v>112</v>
      </c>
      <c r="F317" s="2">
        <v>116</v>
      </c>
    </row>
    <row r="318" spans="1:6" x14ac:dyDescent="0.3">
      <c r="A318" s="2" t="s">
        <v>1094</v>
      </c>
      <c r="B318" s="2" t="s">
        <v>430</v>
      </c>
      <c r="C318" s="2" t="s">
        <v>688</v>
      </c>
      <c r="D318" s="7">
        <v>30.7</v>
      </c>
      <c r="E318" s="2">
        <v>111</v>
      </c>
      <c r="F318" s="2">
        <v>134</v>
      </c>
    </row>
    <row r="319" spans="1:6" x14ac:dyDescent="0.3">
      <c r="A319" s="2" t="s">
        <v>1095</v>
      </c>
      <c r="B319" s="2" t="s">
        <v>430</v>
      </c>
      <c r="C319" s="2" t="s">
        <v>701</v>
      </c>
      <c r="D319" s="7">
        <v>44.8</v>
      </c>
      <c r="E319" s="2">
        <v>152</v>
      </c>
      <c r="F319" s="2">
        <v>69</v>
      </c>
    </row>
    <row r="320" spans="1:6" x14ac:dyDescent="0.3">
      <c r="A320" s="2" t="s">
        <v>1096</v>
      </c>
      <c r="B320" s="2" t="s">
        <v>430</v>
      </c>
      <c r="C320" s="2" t="s">
        <v>742</v>
      </c>
      <c r="D320" s="7">
        <v>24.5</v>
      </c>
      <c r="E320" s="2">
        <v>120</v>
      </c>
      <c r="F320" s="2">
        <v>87</v>
      </c>
    </row>
    <row r="321" spans="1:6" x14ac:dyDescent="0.3">
      <c r="A321" s="2" t="s">
        <v>1097</v>
      </c>
      <c r="B321" s="2" t="s">
        <v>432</v>
      </c>
      <c r="C321" s="2" t="s">
        <v>724</v>
      </c>
      <c r="D321" s="7">
        <v>24.9</v>
      </c>
      <c r="E321" s="2">
        <v>95</v>
      </c>
      <c r="F321" s="2">
        <v>112</v>
      </c>
    </row>
    <row r="322" spans="1:6" x14ac:dyDescent="0.3">
      <c r="A322" s="2" t="s">
        <v>1098</v>
      </c>
      <c r="B322" s="2" t="s">
        <v>432</v>
      </c>
      <c r="C322" s="2" t="s">
        <v>744</v>
      </c>
      <c r="D322" s="7">
        <v>31.1</v>
      </c>
      <c r="E322" s="2">
        <v>128</v>
      </c>
      <c r="F322" s="2">
        <v>123</v>
      </c>
    </row>
    <row r="323" spans="1:6" x14ac:dyDescent="0.3">
      <c r="A323" s="2" t="s">
        <v>1099</v>
      </c>
      <c r="B323" s="2" t="s">
        <v>432</v>
      </c>
      <c r="C323" s="2" t="s">
        <v>703</v>
      </c>
      <c r="D323" s="7">
        <v>27.2</v>
      </c>
      <c r="E323" s="2">
        <v>83</v>
      </c>
      <c r="F323" s="2">
        <v>98</v>
      </c>
    </row>
    <row r="324" spans="1:6" x14ac:dyDescent="0.3">
      <c r="A324" s="2" t="s">
        <v>1100</v>
      </c>
      <c r="B324" s="2" t="s">
        <v>432</v>
      </c>
      <c r="C324" s="2" t="s">
        <v>728</v>
      </c>
      <c r="D324" s="7">
        <v>16.899999999999999</v>
      </c>
      <c r="E324" s="2">
        <v>77</v>
      </c>
      <c r="F324" s="2">
        <v>56</v>
      </c>
    </row>
    <row r="325" spans="1:6" x14ac:dyDescent="0.3">
      <c r="A325" s="2" t="s">
        <v>1101</v>
      </c>
      <c r="B325" s="2" t="s">
        <v>434</v>
      </c>
      <c r="C325" s="2" t="s">
        <v>730</v>
      </c>
      <c r="D325" s="7">
        <v>26.4</v>
      </c>
      <c r="E325" s="2">
        <v>153</v>
      </c>
      <c r="F325" s="2">
        <v>176</v>
      </c>
    </row>
    <row r="326" spans="1:6" x14ac:dyDescent="0.3">
      <c r="A326" s="2" t="s">
        <v>1102</v>
      </c>
      <c r="B326" s="2" t="s">
        <v>434</v>
      </c>
      <c r="C326" s="2" t="s">
        <v>762</v>
      </c>
      <c r="D326" s="7">
        <v>28.3</v>
      </c>
      <c r="E326" s="2">
        <v>172</v>
      </c>
      <c r="F326" s="2">
        <v>129</v>
      </c>
    </row>
    <row r="327" spans="1:6" x14ac:dyDescent="0.3">
      <c r="A327" s="2" t="s">
        <v>1103</v>
      </c>
      <c r="B327" s="2" t="s">
        <v>434</v>
      </c>
      <c r="C327" s="2" t="s">
        <v>756</v>
      </c>
      <c r="D327" s="7">
        <v>45.3</v>
      </c>
      <c r="E327" s="2">
        <v>66</v>
      </c>
      <c r="F327" s="2">
        <v>65</v>
      </c>
    </row>
    <row r="328" spans="1:6" x14ac:dyDescent="0.3">
      <c r="A328" s="2" t="s">
        <v>1104</v>
      </c>
      <c r="B328" s="2" t="s">
        <v>436</v>
      </c>
      <c r="C328" s="2" t="s">
        <v>772</v>
      </c>
      <c r="D328" s="7">
        <v>22.8</v>
      </c>
      <c r="E328" s="2">
        <v>177</v>
      </c>
      <c r="F328" s="2">
        <v>140</v>
      </c>
    </row>
    <row r="329" spans="1:6" x14ac:dyDescent="0.3">
      <c r="A329" s="2" t="s">
        <v>1105</v>
      </c>
      <c r="B329" s="2" t="s">
        <v>436</v>
      </c>
      <c r="C329" s="2" t="s">
        <v>703</v>
      </c>
      <c r="D329" s="7">
        <v>28.1</v>
      </c>
      <c r="E329" s="2">
        <v>84</v>
      </c>
      <c r="F329" s="2">
        <v>81</v>
      </c>
    </row>
    <row r="330" spans="1:6" x14ac:dyDescent="0.3">
      <c r="A330" s="2" t="s">
        <v>1106</v>
      </c>
      <c r="B330" s="2" t="s">
        <v>436</v>
      </c>
      <c r="C330" s="2" t="s">
        <v>726</v>
      </c>
      <c r="D330" s="7">
        <v>19.899999999999999</v>
      </c>
      <c r="E330" s="2">
        <v>175</v>
      </c>
      <c r="F330" s="2">
        <v>131</v>
      </c>
    </row>
    <row r="331" spans="1:6" x14ac:dyDescent="0.3">
      <c r="A331" s="2" t="s">
        <v>1107</v>
      </c>
      <c r="B331" s="2" t="s">
        <v>436</v>
      </c>
      <c r="C331" s="2" t="s">
        <v>688</v>
      </c>
      <c r="D331" s="7">
        <v>29.3</v>
      </c>
      <c r="E331" s="2">
        <v>169</v>
      </c>
      <c r="F331" s="2">
        <v>86</v>
      </c>
    </row>
    <row r="332" spans="1:6" x14ac:dyDescent="0.3">
      <c r="A332" s="2" t="s">
        <v>1108</v>
      </c>
      <c r="B332" s="2" t="s">
        <v>438</v>
      </c>
      <c r="C332" s="2" t="s">
        <v>677</v>
      </c>
      <c r="D332" s="7">
        <v>21.2</v>
      </c>
      <c r="E332" s="2">
        <v>122</v>
      </c>
      <c r="F332" s="2">
        <v>157</v>
      </c>
    </row>
    <row r="333" spans="1:6" x14ac:dyDescent="0.3">
      <c r="A333" s="2" t="s">
        <v>1109</v>
      </c>
      <c r="B333" s="2" t="s">
        <v>438</v>
      </c>
      <c r="C333" s="2" t="s">
        <v>746</v>
      </c>
      <c r="D333" s="7">
        <v>38.700000000000003</v>
      </c>
      <c r="E333" s="2">
        <v>135</v>
      </c>
      <c r="F333" s="2">
        <v>116</v>
      </c>
    </row>
    <row r="334" spans="1:6" x14ac:dyDescent="0.3">
      <c r="A334" s="2" t="s">
        <v>1110</v>
      </c>
      <c r="B334" s="2" t="s">
        <v>438</v>
      </c>
      <c r="C334" s="2" t="s">
        <v>716</v>
      </c>
      <c r="D334" s="7">
        <v>19.8</v>
      </c>
      <c r="E334" s="2">
        <v>112</v>
      </c>
      <c r="F334" s="2">
        <v>127</v>
      </c>
    </row>
    <row r="335" spans="1:6" x14ac:dyDescent="0.3">
      <c r="A335" s="2" t="s">
        <v>1111</v>
      </c>
      <c r="B335" s="2" t="s">
        <v>438</v>
      </c>
      <c r="C335" s="2" t="s">
        <v>714</v>
      </c>
      <c r="D335" s="7">
        <v>20.3</v>
      </c>
      <c r="E335" s="2">
        <v>115</v>
      </c>
      <c r="F335" s="2">
        <v>124</v>
      </c>
    </row>
    <row r="336" spans="1:6" x14ac:dyDescent="0.3">
      <c r="A336" s="2" t="s">
        <v>1112</v>
      </c>
      <c r="B336" s="2" t="s">
        <v>440</v>
      </c>
      <c r="C336" s="2" t="s">
        <v>766</v>
      </c>
      <c r="D336" s="7">
        <v>54.4</v>
      </c>
      <c r="E336" s="2">
        <v>103</v>
      </c>
      <c r="F336" s="2">
        <v>119</v>
      </c>
    </row>
    <row r="337" spans="1:6" x14ac:dyDescent="0.3">
      <c r="A337" s="2" t="s">
        <v>1113</v>
      </c>
      <c r="B337" s="2" t="s">
        <v>440</v>
      </c>
      <c r="C337" s="2" t="s">
        <v>742</v>
      </c>
      <c r="D337" s="7">
        <v>45.6</v>
      </c>
      <c r="E337" s="2">
        <v>174</v>
      </c>
      <c r="F337" s="2">
        <v>137</v>
      </c>
    </row>
    <row r="338" spans="1:6" x14ac:dyDescent="0.3">
      <c r="A338" s="2" t="s">
        <v>1114</v>
      </c>
      <c r="B338" s="2" t="s">
        <v>442</v>
      </c>
      <c r="C338" s="2" t="s">
        <v>736</v>
      </c>
      <c r="D338" s="7">
        <v>40.5</v>
      </c>
      <c r="E338" s="2">
        <v>162</v>
      </c>
      <c r="F338" s="2">
        <v>112</v>
      </c>
    </row>
    <row r="339" spans="1:6" x14ac:dyDescent="0.3">
      <c r="A339" s="2" t="s">
        <v>1115</v>
      </c>
      <c r="B339" s="2" t="s">
        <v>442</v>
      </c>
      <c r="C339" s="2" t="s">
        <v>714</v>
      </c>
      <c r="D339" s="7">
        <v>59.5</v>
      </c>
      <c r="E339" s="2">
        <v>106</v>
      </c>
      <c r="F339" s="2">
        <v>75</v>
      </c>
    </row>
    <row r="340" spans="1:6" x14ac:dyDescent="0.3">
      <c r="A340" s="2" t="s">
        <v>1116</v>
      </c>
      <c r="B340" s="2" t="s">
        <v>444</v>
      </c>
      <c r="C340" s="2" t="s">
        <v>728</v>
      </c>
      <c r="D340" s="7">
        <v>49.8</v>
      </c>
      <c r="E340" s="2">
        <v>86</v>
      </c>
      <c r="F340" s="2">
        <v>153</v>
      </c>
    </row>
    <row r="341" spans="1:6" x14ac:dyDescent="0.3">
      <c r="A341" s="2" t="s">
        <v>1117</v>
      </c>
      <c r="B341" s="2" t="s">
        <v>444</v>
      </c>
      <c r="C341" s="2" t="s">
        <v>746</v>
      </c>
      <c r="D341" s="7">
        <v>50.2</v>
      </c>
      <c r="E341" s="2">
        <v>133</v>
      </c>
      <c r="F341" s="2">
        <v>117</v>
      </c>
    </row>
    <row r="342" spans="1:6" x14ac:dyDescent="0.3">
      <c r="A342" s="2" t="s">
        <v>1118</v>
      </c>
      <c r="B342" s="2" t="s">
        <v>446</v>
      </c>
      <c r="C342" s="2" t="s">
        <v>695</v>
      </c>
      <c r="D342" s="7">
        <v>40.700000000000003</v>
      </c>
      <c r="E342" s="2">
        <v>179</v>
      </c>
      <c r="F342" s="2">
        <v>136</v>
      </c>
    </row>
    <row r="343" spans="1:6" x14ac:dyDescent="0.3">
      <c r="A343" s="2" t="s">
        <v>1119</v>
      </c>
      <c r="B343" s="2" t="s">
        <v>446</v>
      </c>
      <c r="C343" s="2" t="s">
        <v>760</v>
      </c>
      <c r="D343" s="7">
        <v>35.4</v>
      </c>
      <c r="E343" s="2">
        <v>94</v>
      </c>
      <c r="F343" s="2">
        <v>103</v>
      </c>
    </row>
    <row r="344" spans="1:6" x14ac:dyDescent="0.3">
      <c r="A344" s="2" t="s">
        <v>1120</v>
      </c>
      <c r="B344" s="2" t="s">
        <v>446</v>
      </c>
      <c r="C344" s="2" t="s">
        <v>722</v>
      </c>
      <c r="D344" s="7">
        <v>23.9</v>
      </c>
      <c r="E344" s="2">
        <v>143</v>
      </c>
      <c r="F344" s="2">
        <v>74</v>
      </c>
    </row>
    <row r="345" spans="1:6" x14ac:dyDescent="0.3">
      <c r="A345" s="2" t="s">
        <v>1121</v>
      </c>
      <c r="B345" s="2" t="s">
        <v>448</v>
      </c>
      <c r="C345" s="2" t="s">
        <v>720</v>
      </c>
      <c r="D345" s="7">
        <v>26.4</v>
      </c>
      <c r="E345" s="2">
        <v>108</v>
      </c>
      <c r="F345" s="2">
        <v>60</v>
      </c>
    </row>
    <row r="346" spans="1:6" x14ac:dyDescent="0.3">
      <c r="A346" s="2" t="s">
        <v>1122</v>
      </c>
      <c r="B346" s="2" t="s">
        <v>448</v>
      </c>
      <c r="C346" s="2" t="s">
        <v>718</v>
      </c>
      <c r="D346" s="7">
        <v>32.200000000000003</v>
      </c>
      <c r="E346" s="2">
        <v>121</v>
      </c>
      <c r="F346" s="2">
        <v>167</v>
      </c>
    </row>
    <row r="347" spans="1:6" x14ac:dyDescent="0.3">
      <c r="A347" s="2" t="s">
        <v>1123</v>
      </c>
      <c r="B347" s="2" t="s">
        <v>448</v>
      </c>
      <c r="C347" s="2" t="s">
        <v>766</v>
      </c>
      <c r="D347" s="7">
        <v>41.4</v>
      </c>
      <c r="E347" s="2">
        <v>95</v>
      </c>
      <c r="F347" s="2">
        <v>88</v>
      </c>
    </row>
    <row r="348" spans="1:6" x14ac:dyDescent="0.3">
      <c r="A348" s="2" t="s">
        <v>1124</v>
      </c>
      <c r="B348" s="2" t="s">
        <v>450</v>
      </c>
      <c r="C348" s="2" t="s">
        <v>724</v>
      </c>
      <c r="D348" s="7">
        <v>29.8</v>
      </c>
      <c r="E348" s="2">
        <v>74</v>
      </c>
      <c r="F348" s="2">
        <v>82</v>
      </c>
    </row>
    <row r="349" spans="1:6" x14ac:dyDescent="0.3">
      <c r="A349" s="2" t="s">
        <v>1125</v>
      </c>
      <c r="B349" s="2" t="s">
        <v>450</v>
      </c>
      <c r="C349" s="2" t="s">
        <v>693</v>
      </c>
      <c r="D349" s="7">
        <v>40.799999999999997</v>
      </c>
      <c r="E349" s="2">
        <v>79</v>
      </c>
      <c r="F349" s="2">
        <v>150</v>
      </c>
    </row>
    <row r="350" spans="1:6" x14ac:dyDescent="0.3">
      <c r="A350" s="2" t="s">
        <v>1126</v>
      </c>
      <c r="B350" s="2" t="s">
        <v>450</v>
      </c>
      <c r="C350" s="2" t="s">
        <v>738</v>
      </c>
      <c r="D350" s="7">
        <v>29.5</v>
      </c>
      <c r="E350" s="2">
        <v>132</v>
      </c>
      <c r="F350" s="2">
        <v>72</v>
      </c>
    </row>
    <row r="351" spans="1:6" x14ac:dyDescent="0.3">
      <c r="A351" s="2" t="s">
        <v>1127</v>
      </c>
      <c r="B351" s="2" t="s">
        <v>452</v>
      </c>
      <c r="C351" s="2" t="s">
        <v>762</v>
      </c>
      <c r="D351" s="7">
        <v>17.3</v>
      </c>
      <c r="E351" s="2">
        <v>152</v>
      </c>
      <c r="F351" s="2">
        <v>154</v>
      </c>
    </row>
    <row r="352" spans="1:6" x14ac:dyDescent="0.3">
      <c r="A352" s="2" t="s">
        <v>1128</v>
      </c>
      <c r="B352" s="2" t="s">
        <v>452</v>
      </c>
      <c r="C352" s="2" t="s">
        <v>688</v>
      </c>
      <c r="D352" s="7">
        <v>14.9</v>
      </c>
      <c r="E352" s="2">
        <v>159</v>
      </c>
      <c r="F352" s="2">
        <v>139</v>
      </c>
    </row>
    <row r="353" spans="1:6" x14ac:dyDescent="0.3">
      <c r="A353" s="2" t="s">
        <v>1129</v>
      </c>
      <c r="B353" s="2" t="s">
        <v>452</v>
      </c>
      <c r="C353" s="2" t="s">
        <v>699</v>
      </c>
      <c r="D353" s="7">
        <v>21.5</v>
      </c>
      <c r="E353" s="2">
        <v>90</v>
      </c>
      <c r="F353" s="2">
        <v>93</v>
      </c>
    </row>
    <row r="354" spans="1:6" x14ac:dyDescent="0.3">
      <c r="A354" s="2" t="s">
        <v>1130</v>
      </c>
      <c r="B354" s="2" t="s">
        <v>452</v>
      </c>
      <c r="C354" s="2" t="s">
        <v>681</v>
      </c>
      <c r="D354" s="7">
        <v>21.5</v>
      </c>
      <c r="E354" s="2">
        <v>119</v>
      </c>
      <c r="F354" s="2">
        <v>125</v>
      </c>
    </row>
    <row r="355" spans="1:6" x14ac:dyDescent="0.3">
      <c r="A355" s="2" t="s">
        <v>1131</v>
      </c>
      <c r="B355" s="2" t="s">
        <v>452</v>
      </c>
      <c r="C355" s="2" t="s">
        <v>754</v>
      </c>
      <c r="D355" s="7">
        <v>24.8</v>
      </c>
      <c r="E355" s="2">
        <v>178</v>
      </c>
      <c r="F355" s="2">
        <v>128</v>
      </c>
    </row>
    <row r="356" spans="1:6" x14ac:dyDescent="0.3">
      <c r="A356" s="2" t="s">
        <v>1132</v>
      </c>
      <c r="B356" s="2" t="s">
        <v>454</v>
      </c>
      <c r="C356" s="2" t="s">
        <v>728</v>
      </c>
      <c r="D356" s="7">
        <v>52.3</v>
      </c>
      <c r="E356" s="2">
        <v>93</v>
      </c>
      <c r="F356" s="2">
        <v>171</v>
      </c>
    </row>
    <row r="357" spans="1:6" x14ac:dyDescent="0.3">
      <c r="A357" s="2" t="s">
        <v>1133</v>
      </c>
      <c r="B357" s="2" t="s">
        <v>454</v>
      </c>
      <c r="C357" s="2" t="s">
        <v>707</v>
      </c>
      <c r="D357" s="7">
        <v>47.7</v>
      </c>
      <c r="E357" s="2">
        <v>172</v>
      </c>
      <c r="F357" s="2">
        <v>111</v>
      </c>
    </row>
    <row r="358" spans="1:6" x14ac:dyDescent="0.3">
      <c r="A358" s="2" t="s">
        <v>1134</v>
      </c>
      <c r="B358" s="2" t="s">
        <v>456</v>
      </c>
      <c r="C358" s="2" t="s">
        <v>677</v>
      </c>
      <c r="D358" s="7">
        <v>41.1</v>
      </c>
      <c r="E358" s="2">
        <v>107</v>
      </c>
      <c r="F358" s="2">
        <v>88</v>
      </c>
    </row>
    <row r="359" spans="1:6" x14ac:dyDescent="0.3">
      <c r="A359" s="2" t="s">
        <v>1135</v>
      </c>
      <c r="B359" s="2" t="s">
        <v>456</v>
      </c>
      <c r="C359" s="2" t="s">
        <v>720</v>
      </c>
      <c r="D359" s="7">
        <v>24.1</v>
      </c>
      <c r="E359" s="2">
        <v>108</v>
      </c>
      <c r="F359" s="2">
        <v>162</v>
      </c>
    </row>
    <row r="360" spans="1:6" x14ac:dyDescent="0.3">
      <c r="A360" s="2" t="s">
        <v>1136</v>
      </c>
      <c r="B360" s="2" t="s">
        <v>456</v>
      </c>
      <c r="C360" s="2" t="s">
        <v>770</v>
      </c>
      <c r="D360" s="7">
        <v>34.799999999999997</v>
      </c>
      <c r="E360" s="2">
        <v>71</v>
      </c>
      <c r="F360" s="2">
        <v>120</v>
      </c>
    </row>
    <row r="361" spans="1:6" x14ac:dyDescent="0.3">
      <c r="A361" s="2" t="s">
        <v>1137</v>
      </c>
      <c r="B361" s="2" t="s">
        <v>458</v>
      </c>
      <c r="C361" s="2" t="s">
        <v>693</v>
      </c>
      <c r="D361" s="7">
        <v>29.7</v>
      </c>
      <c r="E361" s="2">
        <v>140</v>
      </c>
      <c r="F361" s="2">
        <v>173</v>
      </c>
    </row>
    <row r="362" spans="1:6" x14ac:dyDescent="0.3">
      <c r="A362" s="2" t="s">
        <v>1138</v>
      </c>
      <c r="B362" s="2" t="s">
        <v>458</v>
      </c>
      <c r="C362" s="2" t="s">
        <v>697</v>
      </c>
      <c r="D362" s="7">
        <v>41.2</v>
      </c>
      <c r="E362" s="2">
        <v>78</v>
      </c>
      <c r="F362" s="2">
        <v>151</v>
      </c>
    </row>
    <row r="363" spans="1:6" x14ac:dyDescent="0.3">
      <c r="A363" s="2" t="s">
        <v>1139</v>
      </c>
      <c r="B363" s="2" t="s">
        <v>458</v>
      </c>
      <c r="C363" s="2" t="s">
        <v>758</v>
      </c>
      <c r="D363" s="7">
        <v>29.1</v>
      </c>
      <c r="E363" s="2">
        <v>67</v>
      </c>
      <c r="F363" s="2">
        <v>126</v>
      </c>
    </row>
    <row r="364" spans="1:6" x14ac:dyDescent="0.3">
      <c r="A364" s="2" t="s">
        <v>1140</v>
      </c>
      <c r="B364" s="2" t="s">
        <v>460</v>
      </c>
      <c r="C364" s="2" t="s">
        <v>722</v>
      </c>
      <c r="D364" s="7">
        <v>25.8</v>
      </c>
      <c r="E364" s="2">
        <v>145</v>
      </c>
      <c r="F364" s="2">
        <v>51</v>
      </c>
    </row>
    <row r="365" spans="1:6" x14ac:dyDescent="0.3">
      <c r="A365" s="2" t="s">
        <v>1141</v>
      </c>
      <c r="B365" s="2" t="s">
        <v>460</v>
      </c>
      <c r="C365" s="2" t="s">
        <v>709</v>
      </c>
      <c r="D365" s="7">
        <v>23.1</v>
      </c>
      <c r="E365" s="2">
        <v>178</v>
      </c>
      <c r="F365" s="2">
        <v>135</v>
      </c>
    </row>
    <row r="366" spans="1:6" x14ac:dyDescent="0.3">
      <c r="A366" s="2" t="s">
        <v>1142</v>
      </c>
      <c r="B366" s="2" t="s">
        <v>460</v>
      </c>
      <c r="C366" s="2" t="s">
        <v>746</v>
      </c>
      <c r="D366" s="7">
        <v>30.4</v>
      </c>
      <c r="E366" s="2">
        <v>64</v>
      </c>
      <c r="F366" s="2">
        <v>53</v>
      </c>
    </row>
    <row r="367" spans="1:6" x14ac:dyDescent="0.3">
      <c r="A367" s="2" t="s">
        <v>1143</v>
      </c>
      <c r="B367" s="2" t="s">
        <v>460</v>
      </c>
      <c r="C367" s="2" t="s">
        <v>736</v>
      </c>
      <c r="D367" s="7">
        <v>20.7</v>
      </c>
      <c r="E367" s="2">
        <v>95</v>
      </c>
      <c r="F367" s="2">
        <v>55</v>
      </c>
    </row>
    <row r="368" spans="1:6" x14ac:dyDescent="0.3">
      <c r="A368" s="2" t="s">
        <v>1144</v>
      </c>
      <c r="B368" s="2" t="s">
        <v>462</v>
      </c>
      <c r="C368" s="2" t="s">
        <v>752</v>
      </c>
      <c r="D368" s="7">
        <v>29.3</v>
      </c>
      <c r="E368" s="2">
        <v>103</v>
      </c>
      <c r="F368" s="2">
        <v>89</v>
      </c>
    </row>
    <row r="369" spans="1:6" x14ac:dyDescent="0.3">
      <c r="A369" s="2" t="s">
        <v>1145</v>
      </c>
      <c r="B369" s="2" t="s">
        <v>462</v>
      </c>
      <c r="C369" s="2" t="s">
        <v>688</v>
      </c>
      <c r="D369" s="7">
        <v>32.9</v>
      </c>
      <c r="E369" s="2">
        <v>108</v>
      </c>
      <c r="F369" s="2">
        <v>134</v>
      </c>
    </row>
    <row r="370" spans="1:6" x14ac:dyDescent="0.3">
      <c r="A370" s="2" t="s">
        <v>1146</v>
      </c>
      <c r="B370" s="2" t="s">
        <v>462</v>
      </c>
      <c r="C370" s="2" t="s">
        <v>693</v>
      </c>
      <c r="D370" s="7">
        <v>17</v>
      </c>
      <c r="E370" s="2">
        <v>116</v>
      </c>
      <c r="F370" s="2">
        <v>136</v>
      </c>
    </row>
    <row r="371" spans="1:6" x14ac:dyDescent="0.3">
      <c r="A371" s="2" t="s">
        <v>1147</v>
      </c>
      <c r="B371" s="2" t="s">
        <v>462</v>
      </c>
      <c r="C371" s="2" t="s">
        <v>726</v>
      </c>
      <c r="D371" s="7">
        <v>20.9</v>
      </c>
      <c r="E371" s="2">
        <v>143</v>
      </c>
      <c r="F371" s="2">
        <v>170</v>
      </c>
    </row>
    <row r="372" spans="1:6" x14ac:dyDescent="0.3">
      <c r="A372" s="2" t="s">
        <v>1148</v>
      </c>
      <c r="B372" s="2" t="s">
        <v>464</v>
      </c>
      <c r="C372" s="2" t="s">
        <v>716</v>
      </c>
      <c r="D372" s="7">
        <v>26.2</v>
      </c>
      <c r="E372" s="2">
        <v>115</v>
      </c>
      <c r="F372" s="2">
        <v>177</v>
      </c>
    </row>
    <row r="373" spans="1:6" x14ac:dyDescent="0.3">
      <c r="A373" s="2" t="s">
        <v>1149</v>
      </c>
      <c r="B373" s="2" t="s">
        <v>464</v>
      </c>
      <c r="C373" s="2" t="s">
        <v>691</v>
      </c>
      <c r="D373" s="7">
        <v>34</v>
      </c>
      <c r="E373" s="2">
        <v>90</v>
      </c>
      <c r="F373" s="2">
        <v>104</v>
      </c>
    </row>
    <row r="374" spans="1:6" x14ac:dyDescent="0.3">
      <c r="A374" s="2" t="s">
        <v>1150</v>
      </c>
      <c r="B374" s="2" t="s">
        <v>464</v>
      </c>
      <c r="C374" s="2" t="s">
        <v>718</v>
      </c>
      <c r="D374" s="7">
        <v>39.799999999999997</v>
      </c>
      <c r="E374" s="2">
        <v>164</v>
      </c>
      <c r="F374" s="2">
        <v>59</v>
      </c>
    </row>
    <row r="375" spans="1:6" x14ac:dyDescent="0.3">
      <c r="A375" s="2" t="s">
        <v>1151</v>
      </c>
      <c r="B375" s="2" t="s">
        <v>466</v>
      </c>
      <c r="C375" s="2" t="s">
        <v>709</v>
      </c>
      <c r="D375" s="7">
        <v>33.1</v>
      </c>
      <c r="E375" s="2">
        <v>128</v>
      </c>
      <c r="F375" s="2">
        <v>73</v>
      </c>
    </row>
    <row r="376" spans="1:6" x14ac:dyDescent="0.3">
      <c r="A376" s="2" t="s">
        <v>1152</v>
      </c>
      <c r="B376" s="2" t="s">
        <v>466</v>
      </c>
      <c r="C376" s="2" t="s">
        <v>742</v>
      </c>
      <c r="D376" s="7">
        <v>29.1</v>
      </c>
      <c r="E376" s="2">
        <v>119</v>
      </c>
      <c r="F376" s="2">
        <v>144</v>
      </c>
    </row>
    <row r="377" spans="1:6" x14ac:dyDescent="0.3">
      <c r="A377" s="2" t="s">
        <v>1153</v>
      </c>
      <c r="B377" s="2" t="s">
        <v>466</v>
      </c>
      <c r="C377" s="2" t="s">
        <v>750</v>
      </c>
      <c r="D377" s="7">
        <v>37.799999999999997</v>
      </c>
      <c r="E377" s="2">
        <v>114</v>
      </c>
      <c r="F377" s="2">
        <v>73</v>
      </c>
    </row>
    <row r="378" spans="1:6" x14ac:dyDescent="0.3">
      <c r="A378" s="2" t="s">
        <v>1154</v>
      </c>
      <c r="B378" s="2" t="s">
        <v>468</v>
      </c>
      <c r="C378" s="2" t="s">
        <v>707</v>
      </c>
      <c r="D378" s="7">
        <v>30.1</v>
      </c>
      <c r="E378" s="2">
        <v>135</v>
      </c>
      <c r="F378" s="2">
        <v>155</v>
      </c>
    </row>
    <row r="379" spans="1:6" x14ac:dyDescent="0.3">
      <c r="A379" s="2" t="s">
        <v>1155</v>
      </c>
      <c r="B379" s="2" t="s">
        <v>468</v>
      </c>
      <c r="C379" s="2" t="s">
        <v>742</v>
      </c>
      <c r="D379" s="7">
        <v>35.799999999999997</v>
      </c>
      <c r="E379" s="2">
        <v>102</v>
      </c>
      <c r="F379" s="2">
        <v>97</v>
      </c>
    </row>
    <row r="380" spans="1:6" x14ac:dyDescent="0.3">
      <c r="A380" s="2" t="s">
        <v>1156</v>
      </c>
      <c r="B380" s="2" t="s">
        <v>468</v>
      </c>
      <c r="C380" s="2" t="s">
        <v>724</v>
      </c>
      <c r="D380" s="7">
        <v>34.1</v>
      </c>
      <c r="E380" s="2">
        <v>170</v>
      </c>
      <c r="F380" s="2">
        <v>56</v>
      </c>
    </row>
    <row r="381" spans="1:6" x14ac:dyDescent="0.3">
      <c r="A381" s="2" t="s">
        <v>1157</v>
      </c>
      <c r="B381" s="2" t="s">
        <v>470</v>
      </c>
      <c r="C381" s="2" t="s">
        <v>752</v>
      </c>
      <c r="D381" s="7">
        <v>23.3</v>
      </c>
      <c r="E381" s="2">
        <v>164</v>
      </c>
      <c r="F381" s="2">
        <v>113</v>
      </c>
    </row>
    <row r="382" spans="1:6" x14ac:dyDescent="0.3">
      <c r="A382" s="2" t="s">
        <v>1158</v>
      </c>
      <c r="B382" s="2" t="s">
        <v>470</v>
      </c>
      <c r="C382" s="2" t="s">
        <v>754</v>
      </c>
      <c r="D382" s="7">
        <v>36.5</v>
      </c>
      <c r="E382" s="2">
        <v>100</v>
      </c>
      <c r="F382" s="2">
        <v>120</v>
      </c>
    </row>
    <row r="383" spans="1:6" x14ac:dyDescent="0.3">
      <c r="A383" s="2" t="s">
        <v>1159</v>
      </c>
      <c r="B383" s="2" t="s">
        <v>470</v>
      </c>
      <c r="C383" s="2" t="s">
        <v>724</v>
      </c>
      <c r="D383" s="7">
        <v>40.299999999999997</v>
      </c>
      <c r="E383" s="2">
        <v>115</v>
      </c>
      <c r="F383" s="2">
        <v>74</v>
      </c>
    </row>
    <row r="384" spans="1:6" x14ac:dyDescent="0.3">
      <c r="A384" s="2" t="s">
        <v>1160</v>
      </c>
      <c r="B384" s="2" t="s">
        <v>472</v>
      </c>
      <c r="C384" s="2" t="s">
        <v>742</v>
      </c>
      <c r="D384" s="7">
        <v>53.8</v>
      </c>
      <c r="E384" s="2">
        <v>157</v>
      </c>
      <c r="F384" s="2">
        <v>110</v>
      </c>
    </row>
    <row r="385" spans="1:6" x14ac:dyDescent="0.3">
      <c r="A385" s="2" t="s">
        <v>1161</v>
      </c>
      <c r="B385" s="2" t="s">
        <v>472</v>
      </c>
      <c r="C385" s="2" t="s">
        <v>732</v>
      </c>
      <c r="D385" s="7">
        <v>46.2</v>
      </c>
      <c r="E385" s="2">
        <v>69</v>
      </c>
      <c r="F385" s="2">
        <v>133</v>
      </c>
    </row>
    <row r="386" spans="1:6" x14ac:dyDescent="0.3">
      <c r="A386" s="2" t="s">
        <v>1162</v>
      </c>
      <c r="B386" s="2" t="s">
        <v>474</v>
      </c>
      <c r="C386" s="2" t="s">
        <v>726</v>
      </c>
      <c r="D386" s="7">
        <v>40.5</v>
      </c>
      <c r="E386" s="2">
        <v>133</v>
      </c>
      <c r="F386" s="2">
        <v>143</v>
      </c>
    </row>
    <row r="387" spans="1:6" x14ac:dyDescent="0.3">
      <c r="A387" s="2" t="s">
        <v>1163</v>
      </c>
      <c r="B387" s="2" t="s">
        <v>474</v>
      </c>
      <c r="C387" s="2" t="s">
        <v>732</v>
      </c>
      <c r="D387" s="7">
        <v>28.4</v>
      </c>
      <c r="E387" s="2">
        <v>81</v>
      </c>
      <c r="F387" s="2">
        <v>119</v>
      </c>
    </row>
    <row r="388" spans="1:6" x14ac:dyDescent="0.3">
      <c r="A388" s="2" t="s">
        <v>1164</v>
      </c>
      <c r="B388" s="2" t="s">
        <v>474</v>
      </c>
      <c r="C388" s="2" t="s">
        <v>742</v>
      </c>
      <c r="D388" s="7">
        <v>31.1</v>
      </c>
      <c r="E388" s="2">
        <v>173</v>
      </c>
      <c r="F388" s="2">
        <v>179</v>
      </c>
    </row>
    <row r="389" spans="1:6" x14ac:dyDescent="0.3">
      <c r="A389" s="2" t="s">
        <v>1165</v>
      </c>
      <c r="B389" s="2" t="s">
        <v>476</v>
      </c>
      <c r="C389" s="2" t="s">
        <v>756</v>
      </c>
      <c r="D389" s="7">
        <v>50.8</v>
      </c>
      <c r="E389" s="2">
        <v>85</v>
      </c>
      <c r="F389" s="2">
        <v>105</v>
      </c>
    </row>
    <row r="390" spans="1:6" x14ac:dyDescent="0.3">
      <c r="A390" s="2" t="s">
        <v>1166</v>
      </c>
      <c r="B390" s="2" t="s">
        <v>476</v>
      </c>
      <c r="C390" s="2" t="s">
        <v>726</v>
      </c>
      <c r="D390" s="7">
        <v>49.2</v>
      </c>
      <c r="E390" s="2">
        <v>81</v>
      </c>
      <c r="F390" s="2">
        <v>138</v>
      </c>
    </row>
    <row r="391" spans="1:6" x14ac:dyDescent="0.3">
      <c r="A391" s="2" t="s">
        <v>1167</v>
      </c>
      <c r="B391" s="2" t="s">
        <v>478</v>
      </c>
      <c r="C391" s="2" t="s">
        <v>705</v>
      </c>
      <c r="D391" s="7">
        <v>21.5</v>
      </c>
      <c r="E391" s="2">
        <v>108</v>
      </c>
      <c r="F391" s="2">
        <v>103</v>
      </c>
    </row>
    <row r="392" spans="1:6" x14ac:dyDescent="0.3">
      <c r="A392" s="2" t="s">
        <v>1168</v>
      </c>
      <c r="B392" s="2" t="s">
        <v>478</v>
      </c>
      <c r="C392" s="2" t="s">
        <v>722</v>
      </c>
      <c r="D392" s="7">
        <v>18.8</v>
      </c>
      <c r="E392" s="2">
        <v>90</v>
      </c>
      <c r="F392" s="2">
        <v>107</v>
      </c>
    </row>
    <row r="393" spans="1:6" x14ac:dyDescent="0.3">
      <c r="A393" s="2" t="s">
        <v>1169</v>
      </c>
      <c r="B393" s="2" t="s">
        <v>478</v>
      </c>
      <c r="C393" s="2" t="s">
        <v>709</v>
      </c>
      <c r="D393" s="7">
        <v>19.3</v>
      </c>
      <c r="E393" s="2">
        <v>163</v>
      </c>
      <c r="F393" s="2">
        <v>177</v>
      </c>
    </row>
    <row r="394" spans="1:6" x14ac:dyDescent="0.3">
      <c r="A394" s="2" t="s">
        <v>1170</v>
      </c>
      <c r="B394" s="2" t="s">
        <v>478</v>
      </c>
      <c r="C394" s="2" t="s">
        <v>716</v>
      </c>
      <c r="D394" s="7">
        <v>17.8</v>
      </c>
      <c r="E394" s="2">
        <v>141</v>
      </c>
      <c r="F394" s="2">
        <v>74</v>
      </c>
    </row>
    <row r="395" spans="1:6" x14ac:dyDescent="0.3">
      <c r="A395" s="2" t="s">
        <v>1171</v>
      </c>
      <c r="B395" s="2" t="s">
        <v>478</v>
      </c>
      <c r="C395" s="2" t="s">
        <v>712</v>
      </c>
      <c r="D395" s="7">
        <v>22.7</v>
      </c>
      <c r="E395" s="2">
        <v>122</v>
      </c>
      <c r="F395" s="2">
        <v>68</v>
      </c>
    </row>
    <row r="396" spans="1:6" x14ac:dyDescent="0.3">
      <c r="A396" s="2" t="s">
        <v>1172</v>
      </c>
      <c r="B396" s="2" t="s">
        <v>480</v>
      </c>
      <c r="C396" s="2" t="s">
        <v>740</v>
      </c>
      <c r="D396" s="7">
        <v>22.8</v>
      </c>
      <c r="E396" s="2">
        <v>136</v>
      </c>
      <c r="F396" s="2">
        <v>77</v>
      </c>
    </row>
    <row r="397" spans="1:6" x14ac:dyDescent="0.3">
      <c r="A397" s="2" t="s">
        <v>1173</v>
      </c>
      <c r="B397" s="2" t="s">
        <v>480</v>
      </c>
      <c r="C397" s="2" t="s">
        <v>695</v>
      </c>
      <c r="D397" s="7">
        <v>27.3</v>
      </c>
      <c r="E397" s="2">
        <v>176</v>
      </c>
      <c r="F397" s="2">
        <v>115</v>
      </c>
    </row>
    <row r="398" spans="1:6" x14ac:dyDescent="0.3">
      <c r="A398" s="2" t="s">
        <v>1174</v>
      </c>
      <c r="B398" s="2" t="s">
        <v>480</v>
      </c>
      <c r="C398" s="2" t="s">
        <v>730</v>
      </c>
      <c r="D398" s="7">
        <v>18.2</v>
      </c>
      <c r="E398" s="2">
        <v>69</v>
      </c>
      <c r="F398" s="2">
        <v>175</v>
      </c>
    </row>
    <row r="399" spans="1:6" x14ac:dyDescent="0.3">
      <c r="A399" s="2" t="s">
        <v>1175</v>
      </c>
      <c r="B399" s="2" t="s">
        <v>480</v>
      </c>
      <c r="C399" s="2" t="s">
        <v>720</v>
      </c>
      <c r="D399" s="7">
        <v>31.7</v>
      </c>
      <c r="E399" s="2">
        <v>145</v>
      </c>
      <c r="F399" s="2">
        <v>107</v>
      </c>
    </row>
    <row r="400" spans="1:6" x14ac:dyDescent="0.3">
      <c r="A400" s="2" t="s">
        <v>1176</v>
      </c>
      <c r="B400" s="2" t="s">
        <v>482</v>
      </c>
      <c r="C400" s="2" t="s">
        <v>760</v>
      </c>
      <c r="D400" s="7">
        <v>35.1</v>
      </c>
      <c r="E400" s="2">
        <v>147</v>
      </c>
      <c r="F400" s="2">
        <v>106</v>
      </c>
    </row>
    <row r="401" spans="1:6" x14ac:dyDescent="0.3">
      <c r="A401" s="2" t="s">
        <v>1177</v>
      </c>
      <c r="B401" s="2" t="s">
        <v>482</v>
      </c>
      <c r="C401" s="2" t="s">
        <v>691</v>
      </c>
      <c r="D401" s="7">
        <v>32.200000000000003</v>
      </c>
      <c r="E401" s="2">
        <v>142</v>
      </c>
      <c r="F401" s="2">
        <v>115</v>
      </c>
    </row>
    <row r="402" spans="1:6" x14ac:dyDescent="0.3">
      <c r="A402" s="2" t="s">
        <v>1178</v>
      </c>
      <c r="B402" s="2" t="s">
        <v>482</v>
      </c>
      <c r="C402" s="2" t="s">
        <v>728</v>
      </c>
      <c r="D402" s="7">
        <v>32.799999999999997</v>
      </c>
      <c r="E402" s="2">
        <v>81</v>
      </c>
      <c r="F402" s="2">
        <v>69</v>
      </c>
    </row>
    <row r="403" spans="1:6" x14ac:dyDescent="0.3">
      <c r="A403" s="2" t="s">
        <v>1179</v>
      </c>
      <c r="B403" s="2" t="s">
        <v>484</v>
      </c>
      <c r="C403" s="2" t="s">
        <v>724</v>
      </c>
      <c r="D403" s="7">
        <v>24.8</v>
      </c>
      <c r="E403" s="2">
        <v>86</v>
      </c>
      <c r="F403" s="2">
        <v>100</v>
      </c>
    </row>
    <row r="404" spans="1:6" x14ac:dyDescent="0.3">
      <c r="A404" s="2" t="s">
        <v>1180</v>
      </c>
      <c r="B404" s="2" t="s">
        <v>484</v>
      </c>
      <c r="C404" s="2" t="s">
        <v>693</v>
      </c>
      <c r="D404" s="7">
        <v>22.5</v>
      </c>
      <c r="E404" s="2">
        <v>123</v>
      </c>
      <c r="F404" s="2">
        <v>101</v>
      </c>
    </row>
    <row r="405" spans="1:6" x14ac:dyDescent="0.3">
      <c r="A405" s="2" t="s">
        <v>1181</v>
      </c>
      <c r="B405" s="2" t="s">
        <v>484</v>
      </c>
      <c r="C405" s="2" t="s">
        <v>740</v>
      </c>
      <c r="D405" s="7">
        <v>23.8</v>
      </c>
      <c r="E405" s="2">
        <v>140</v>
      </c>
      <c r="F405" s="2">
        <v>87</v>
      </c>
    </row>
    <row r="406" spans="1:6" x14ac:dyDescent="0.3">
      <c r="A406" s="2" t="s">
        <v>1182</v>
      </c>
      <c r="B406" s="2" t="s">
        <v>484</v>
      </c>
      <c r="C406" s="2" t="s">
        <v>734</v>
      </c>
      <c r="D406" s="7">
        <v>28.8</v>
      </c>
      <c r="E406" s="2">
        <v>159</v>
      </c>
      <c r="F406" s="2">
        <v>100</v>
      </c>
    </row>
    <row r="407" spans="1:6" x14ac:dyDescent="0.3">
      <c r="A407" s="2" t="s">
        <v>1183</v>
      </c>
      <c r="B407" s="2" t="s">
        <v>486</v>
      </c>
      <c r="C407" s="2" t="s">
        <v>707</v>
      </c>
      <c r="D407" s="7">
        <v>22.5</v>
      </c>
      <c r="E407" s="2">
        <v>138</v>
      </c>
      <c r="F407" s="2">
        <v>139</v>
      </c>
    </row>
    <row r="408" spans="1:6" x14ac:dyDescent="0.3">
      <c r="A408" s="2" t="s">
        <v>1184</v>
      </c>
      <c r="B408" s="2" t="s">
        <v>486</v>
      </c>
      <c r="C408" s="2" t="s">
        <v>726</v>
      </c>
      <c r="D408" s="7">
        <v>18.5</v>
      </c>
      <c r="E408" s="2">
        <v>106</v>
      </c>
      <c r="F408" s="2">
        <v>63</v>
      </c>
    </row>
    <row r="409" spans="1:6" x14ac:dyDescent="0.3">
      <c r="A409" s="2" t="s">
        <v>1185</v>
      </c>
      <c r="B409" s="2" t="s">
        <v>486</v>
      </c>
      <c r="C409" s="2" t="s">
        <v>693</v>
      </c>
      <c r="D409" s="7">
        <v>36</v>
      </c>
      <c r="E409" s="2">
        <v>152</v>
      </c>
      <c r="F409" s="2">
        <v>160</v>
      </c>
    </row>
    <row r="410" spans="1:6" x14ac:dyDescent="0.3">
      <c r="A410" s="2" t="s">
        <v>1186</v>
      </c>
      <c r="B410" s="2" t="s">
        <v>486</v>
      </c>
      <c r="C410" s="2" t="s">
        <v>766</v>
      </c>
      <c r="D410" s="7">
        <v>23.1</v>
      </c>
      <c r="E410" s="2">
        <v>114</v>
      </c>
      <c r="F410" s="2">
        <v>132</v>
      </c>
    </row>
    <row r="411" spans="1:6" x14ac:dyDescent="0.3">
      <c r="A411" s="2" t="s">
        <v>1187</v>
      </c>
      <c r="B411" s="2" t="s">
        <v>488</v>
      </c>
      <c r="C411" s="2" t="s">
        <v>685</v>
      </c>
      <c r="D411" s="7">
        <v>31.9</v>
      </c>
      <c r="E411" s="2">
        <v>163</v>
      </c>
      <c r="F411" s="2">
        <v>102</v>
      </c>
    </row>
    <row r="412" spans="1:6" x14ac:dyDescent="0.3">
      <c r="A412" s="2" t="s">
        <v>1188</v>
      </c>
      <c r="B412" s="2" t="s">
        <v>488</v>
      </c>
      <c r="C412" s="2" t="s">
        <v>762</v>
      </c>
      <c r="D412" s="7">
        <v>29.2</v>
      </c>
      <c r="E412" s="2">
        <v>137</v>
      </c>
      <c r="F412" s="2">
        <v>168</v>
      </c>
    </row>
    <row r="413" spans="1:6" x14ac:dyDescent="0.3">
      <c r="A413" s="2" t="s">
        <v>1189</v>
      </c>
      <c r="B413" s="2" t="s">
        <v>488</v>
      </c>
      <c r="C413" s="2" t="s">
        <v>730</v>
      </c>
      <c r="D413" s="7">
        <v>38.9</v>
      </c>
      <c r="E413" s="2">
        <v>133</v>
      </c>
      <c r="F413" s="2">
        <v>103</v>
      </c>
    </row>
    <row r="414" spans="1:6" x14ac:dyDescent="0.3">
      <c r="A414" s="2" t="s">
        <v>1190</v>
      </c>
      <c r="B414" s="2" t="s">
        <v>490</v>
      </c>
      <c r="C414" s="2" t="s">
        <v>758</v>
      </c>
      <c r="D414" s="7">
        <v>31.2</v>
      </c>
      <c r="E414" s="2">
        <v>72</v>
      </c>
      <c r="F414" s="2">
        <v>180</v>
      </c>
    </row>
    <row r="415" spans="1:6" x14ac:dyDescent="0.3">
      <c r="A415" s="2" t="s">
        <v>1191</v>
      </c>
      <c r="B415" s="2" t="s">
        <v>490</v>
      </c>
      <c r="C415" s="2" t="s">
        <v>691</v>
      </c>
      <c r="D415" s="7">
        <v>45.1</v>
      </c>
      <c r="E415" s="2">
        <v>94</v>
      </c>
      <c r="F415" s="2">
        <v>70</v>
      </c>
    </row>
    <row r="416" spans="1:6" x14ac:dyDescent="0.3">
      <c r="A416" s="2" t="s">
        <v>1192</v>
      </c>
      <c r="B416" s="2" t="s">
        <v>490</v>
      </c>
      <c r="C416" s="2" t="s">
        <v>746</v>
      </c>
      <c r="D416" s="7">
        <v>23.6</v>
      </c>
      <c r="E416" s="2">
        <v>123</v>
      </c>
      <c r="F416" s="2">
        <v>144</v>
      </c>
    </row>
    <row r="417" spans="1:6" x14ac:dyDescent="0.3">
      <c r="A417" s="2" t="s">
        <v>1193</v>
      </c>
      <c r="B417" s="2" t="s">
        <v>492</v>
      </c>
      <c r="C417" s="2" t="s">
        <v>754</v>
      </c>
      <c r="D417" s="7">
        <v>30.5</v>
      </c>
      <c r="E417" s="2">
        <v>87</v>
      </c>
      <c r="F417" s="2">
        <v>169</v>
      </c>
    </row>
    <row r="418" spans="1:6" x14ac:dyDescent="0.3">
      <c r="A418" s="2" t="s">
        <v>1194</v>
      </c>
      <c r="B418" s="2" t="s">
        <v>492</v>
      </c>
      <c r="C418" s="2" t="s">
        <v>677</v>
      </c>
      <c r="D418" s="7">
        <v>31.2</v>
      </c>
      <c r="E418" s="2">
        <v>141</v>
      </c>
      <c r="F418" s="2">
        <v>149</v>
      </c>
    </row>
    <row r="419" spans="1:6" x14ac:dyDescent="0.3">
      <c r="A419" s="2" t="s">
        <v>1195</v>
      </c>
      <c r="B419" s="2" t="s">
        <v>492</v>
      </c>
      <c r="C419" s="2" t="s">
        <v>695</v>
      </c>
      <c r="D419" s="7">
        <v>38.200000000000003</v>
      </c>
      <c r="E419" s="2">
        <v>165</v>
      </c>
      <c r="F419" s="2">
        <v>66</v>
      </c>
    </row>
    <row r="420" spans="1:6" x14ac:dyDescent="0.3">
      <c r="A420" s="2" t="s">
        <v>1196</v>
      </c>
      <c r="B420" s="2" t="s">
        <v>494</v>
      </c>
      <c r="C420" s="2" t="s">
        <v>705</v>
      </c>
      <c r="D420" s="7">
        <v>18.2</v>
      </c>
      <c r="E420" s="2">
        <v>100</v>
      </c>
      <c r="F420" s="2">
        <v>149</v>
      </c>
    </row>
    <row r="421" spans="1:6" x14ac:dyDescent="0.3">
      <c r="A421" s="2" t="s">
        <v>1197</v>
      </c>
      <c r="B421" s="2" t="s">
        <v>494</v>
      </c>
      <c r="C421" s="2" t="s">
        <v>703</v>
      </c>
      <c r="D421" s="7">
        <v>23.8</v>
      </c>
      <c r="E421" s="2">
        <v>86</v>
      </c>
      <c r="F421" s="2">
        <v>118</v>
      </c>
    </row>
    <row r="422" spans="1:6" x14ac:dyDescent="0.3">
      <c r="A422" s="2" t="s">
        <v>1198</v>
      </c>
      <c r="B422" s="2" t="s">
        <v>494</v>
      </c>
      <c r="C422" s="2" t="s">
        <v>707</v>
      </c>
      <c r="D422" s="7">
        <v>22</v>
      </c>
      <c r="E422" s="2">
        <v>116</v>
      </c>
      <c r="F422" s="2">
        <v>66</v>
      </c>
    </row>
    <row r="423" spans="1:6" x14ac:dyDescent="0.3">
      <c r="A423" s="2" t="s">
        <v>1199</v>
      </c>
      <c r="B423" s="2" t="s">
        <v>494</v>
      </c>
      <c r="C423" s="2" t="s">
        <v>758</v>
      </c>
      <c r="D423" s="7">
        <v>14.4</v>
      </c>
      <c r="E423" s="2">
        <v>175</v>
      </c>
      <c r="F423" s="2">
        <v>120</v>
      </c>
    </row>
    <row r="424" spans="1:6" x14ac:dyDescent="0.3">
      <c r="A424" s="2" t="s">
        <v>1200</v>
      </c>
      <c r="B424" s="2" t="s">
        <v>494</v>
      </c>
      <c r="C424" s="2" t="s">
        <v>730</v>
      </c>
      <c r="D424" s="7">
        <v>21.6</v>
      </c>
      <c r="E424" s="2">
        <v>150</v>
      </c>
      <c r="F424" s="2">
        <v>96</v>
      </c>
    </row>
    <row r="425" spans="1:6" x14ac:dyDescent="0.3">
      <c r="A425" s="2" t="s">
        <v>1201</v>
      </c>
      <c r="B425" s="2" t="s">
        <v>496</v>
      </c>
      <c r="C425" s="2" t="s">
        <v>742</v>
      </c>
      <c r="D425" s="7">
        <v>12</v>
      </c>
      <c r="E425" s="2">
        <v>95</v>
      </c>
      <c r="F425" s="2">
        <v>105</v>
      </c>
    </row>
    <row r="426" spans="1:6" x14ac:dyDescent="0.3">
      <c r="A426" s="2" t="s">
        <v>1202</v>
      </c>
      <c r="B426" s="2" t="s">
        <v>496</v>
      </c>
      <c r="C426" s="2" t="s">
        <v>720</v>
      </c>
      <c r="D426" s="7">
        <v>22.9</v>
      </c>
      <c r="E426" s="2">
        <v>170</v>
      </c>
      <c r="F426" s="2">
        <v>70</v>
      </c>
    </row>
    <row r="427" spans="1:6" x14ac:dyDescent="0.3">
      <c r="A427" s="2" t="s">
        <v>1203</v>
      </c>
      <c r="B427" s="2" t="s">
        <v>496</v>
      </c>
      <c r="C427" s="2" t="s">
        <v>768</v>
      </c>
      <c r="D427" s="7">
        <v>20.3</v>
      </c>
      <c r="E427" s="2">
        <v>72</v>
      </c>
      <c r="F427" s="2">
        <v>58</v>
      </c>
    </row>
    <row r="428" spans="1:6" x14ac:dyDescent="0.3">
      <c r="A428" s="2" t="s">
        <v>1204</v>
      </c>
      <c r="B428" s="2" t="s">
        <v>496</v>
      </c>
      <c r="C428" s="2" t="s">
        <v>705</v>
      </c>
      <c r="D428" s="7">
        <v>20.8</v>
      </c>
      <c r="E428" s="2">
        <v>70</v>
      </c>
      <c r="F428" s="2">
        <v>119</v>
      </c>
    </row>
    <row r="429" spans="1:6" x14ac:dyDescent="0.3">
      <c r="A429" s="2" t="s">
        <v>1205</v>
      </c>
      <c r="B429" s="2" t="s">
        <v>496</v>
      </c>
      <c r="C429" s="2" t="s">
        <v>750</v>
      </c>
      <c r="D429" s="7">
        <v>24.1</v>
      </c>
      <c r="E429" s="2">
        <v>60</v>
      </c>
      <c r="F429" s="2">
        <v>167</v>
      </c>
    </row>
    <row r="430" spans="1:6" x14ac:dyDescent="0.3">
      <c r="A430" s="2" t="s">
        <v>1206</v>
      </c>
      <c r="B430" s="2" t="s">
        <v>498</v>
      </c>
      <c r="C430" s="2" t="s">
        <v>703</v>
      </c>
      <c r="D430" s="7">
        <v>25</v>
      </c>
      <c r="E430" s="2">
        <v>119</v>
      </c>
      <c r="F430" s="2">
        <v>51</v>
      </c>
    </row>
    <row r="431" spans="1:6" x14ac:dyDescent="0.3">
      <c r="A431" s="2" t="s">
        <v>1207</v>
      </c>
      <c r="B431" s="2" t="s">
        <v>498</v>
      </c>
      <c r="C431" s="2" t="s">
        <v>685</v>
      </c>
      <c r="D431" s="7">
        <v>43.5</v>
      </c>
      <c r="E431" s="2">
        <v>132</v>
      </c>
      <c r="F431" s="2">
        <v>159</v>
      </c>
    </row>
    <row r="432" spans="1:6" x14ac:dyDescent="0.3">
      <c r="A432" s="2" t="s">
        <v>1208</v>
      </c>
      <c r="B432" s="2" t="s">
        <v>498</v>
      </c>
      <c r="C432" s="2" t="s">
        <v>681</v>
      </c>
      <c r="D432" s="7">
        <v>31.5</v>
      </c>
      <c r="E432" s="2">
        <v>95</v>
      </c>
      <c r="F432" s="2">
        <v>110</v>
      </c>
    </row>
    <row r="433" spans="1:6" x14ac:dyDescent="0.3">
      <c r="A433" s="2" t="s">
        <v>1209</v>
      </c>
      <c r="B433" s="2" t="s">
        <v>500</v>
      </c>
      <c r="C433" s="2" t="s">
        <v>697</v>
      </c>
      <c r="D433" s="7">
        <v>20</v>
      </c>
      <c r="E433" s="2">
        <v>176</v>
      </c>
      <c r="F433" s="2">
        <v>92</v>
      </c>
    </row>
    <row r="434" spans="1:6" x14ac:dyDescent="0.3">
      <c r="A434" s="2" t="s">
        <v>1210</v>
      </c>
      <c r="B434" s="2" t="s">
        <v>500</v>
      </c>
      <c r="C434" s="2" t="s">
        <v>693</v>
      </c>
      <c r="D434" s="7">
        <v>35.299999999999997</v>
      </c>
      <c r="E434" s="2">
        <v>171</v>
      </c>
      <c r="F434" s="2">
        <v>164</v>
      </c>
    </row>
    <row r="435" spans="1:6" x14ac:dyDescent="0.3">
      <c r="A435" s="2" t="s">
        <v>1211</v>
      </c>
      <c r="B435" s="2" t="s">
        <v>500</v>
      </c>
      <c r="C435" s="2" t="s">
        <v>744</v>
      </c>
      <c r="D435" s="7">
        <v>23.4</v>
      </c>
      <c r="E435" s="2">
        <v>86</v>
      </c>
      <c r="F435" s="2">
        <v>86</v>
      </c>
    </row>
    <row r="436" spans="1:6" x14ac:dyDescent="0.3">
      <c r="A436" s="2" t="s">
        <v>1212</v>
      </c>
      <c r="B436" s="2" t="s">
        <v>500</v>
      </c>
      <c r="C436" s="2" t="s">
        <v>734</v>
      </c>
      <c r="D436" s="7">
        <v>21.3</v>
      </c>
      <c r="E436" s="2">
        <v>105</v>
      </c>
      <c r="F436" s="2">
        <v>162</v>
      </c>
    </row>
    <row r="437" spans="1:6" x14ac:dyDescent="0.3">
      <c r="A437" s="2" t="s">
        <v>1213</v>
      </c>
      <c r="B437" s="2" t="s">
        <v>502</v>
      </c>
      <c r="C437" s="2" t="s">
        <v>762</v>
      </c>
      <c r="D437" s="7">
        <v>44.9</v>
      </c>
      <c r="E437" s="2">
        <v>90</v>
      </c>
      <c r="F437" s="2">
        <v>82</v>
      </c>
    </row>
    <row r="438" spans="1:6" x14ac:dyDescent="0.3">
      <c r="A438" s="2" t="s">
        <v>1214</v>
      </c>
      <c r="B438" s="2" t="s">
        <v>502</v>
      </c>
      <c r="C438" s="2" t="s">
        <v>744</v>
      </c>
      <c r="D438" s="7">
        <v>55.1</v>
      </c>
      <c r="E438" s="2">
        <v>137</v>
      </c>
      <c r="F438" s="2">
        <v>129</v>
      </c>
    </row>
    <row r="439" spans="1:6" x14ac:dyDescent="0.3">
      <c r="A439" s="2" t="s">
        <v>1215</v>
      </c>
      <c r="B439" s="2" t="s">
        <v>504</v>
      </c>
      <c r="C439" s="2" t="s">
        <v>697</v>
      </c>
      <c r="D439" s="7">
        <v>59.3</v>
      </c>
      <c r="E439" s="2">
        <v>112</v>
      </c>
      <c r="F439" s="2">
        <v>165</v>
      </c>
    </row>
    <row r="440" spans="1:6" x14ac:dyDescent="0.3">
      <c r="A440" s="2" t="s">
        <v>1216</v>
      </c>
      <c r="B440" s="2" t="s">
        <v>504</v>
      </c>
      <c r="C440" s="2" t="s">
        <v>724</v>
      </c>
      <c r="D440" s="7">
        <v>40.700000000000003</v>
      </c>
      <c r="E440" s="2">
        <v>110</v>
      </c>
      <c r="F440" s="2">
        <v>53</v>
      </c>
    </row>
    <row r="441" spans="1:6" x14ac:dyDescent="0.3">
      <c r="A441" s="2" t="s">
        <v>1217</v>
      </c>
      <c r="B441" s="2" t="s">
        <v>506</v>
      </c>
      <c r="C441" s="2" t="s">
        <v>705</v>
      </c>
      <c r="D441" s="7">
        <v>34.1</v>
      </c>
      <c r="E441" s="2">
        <v>177</v>
      </c>
      <c r="F441" s="2">
        <v>71</v>
      </c>
    </row>
    <row r="442" spans="1:6" x14ac:dyDescent="0.3">
      <c r="A442" s="2" t="s">
        <v>1218</v>
      </c>
      <c r="B442" s="2" t="s">
        <v>506</v>
      </c>
      <c r="C442" s="2" t="s">
        <v>681</v>
      </c>
      <c r="D442" s="7">
        <v>33.5</v>
      </c>
      <c r="E442" s="2">
        <v>137</v>
      </c>
      <c r="F442" s="2">
        <v>162</v>
      </c>
    </row>
    <row r="443" spans="1:6" x14ac:dyDescent="0.3">
      <c r="A443" s="2" t="s">
        <v>1219</v>
      </c>
      <c r="B443" s="2" t="s">
        <v>506</v>
      </c>
      <c r="C443" s="2" t="s">
        <v>764</v>
      </c>
      <c r="D443" s="7">
        <v>32.4</v>
      </c>
      <c r="E443" s="2">
        <v>116</v>
      </c>
      <c r="F443" s="2">
        <v>172</v>
      </c>
    </row>
    <row r="444" spans="1:6" x14ac:dyDescent="0.3">
      <c r="A444" s="2" t="s">
        <v>1220</v>
      </c>
      <c r="B444" s="2" t="s">
        <v>508</v>
      </c>
      <c r="C444" s="2" t="s">
        <v>728</v>
      </c>
      <c r="D444" s="7">
        <v>41.2</v>
      </c>
      <c r="E444" s="2">
        <v>119</v>
      </c>
      <c r="F444" s="2">
        <v>145</v>
      </c>
    </row>
    <row r="445" spans="1:6" x14ac:dyDescent="0.3">
      <c r="A445" s="2" t="s">
        <v>1221</v>
      </c>
      <c r="B445" s="2" t="s">
        <v>508</v>
      </c>
      <c r="C445" s="2" t="s">
        <v>703</v>
      </c>
      <c r="D445" s="7">
        <v>28.2</v>
      </c>
      <c r="E445" s="2">
        <v>115</v>
      </c>
      <c r="F445" s="2">
        <v>102</v>
      </c>
    </row>
    <row r="446" spans="1:6" x14ac:dyDescent="0.3">
      <c r="A446" s="2" t="s">
        <v>1222</v>
      </c>
      <c r="B446" s="2" t="s">
        <v>508</v>
      </c>
      <c r="C446" s="2" t="s">
        <v>750</v>
      </c>
      <c r="D446" s="7">
        <v>30.6</v>
      </c>
      <c r="E446" s="2">
        <v>66</v>
      </c>
      <c r="F446" s="2">
        <v>146</v>
      </c>
    </row>
    <row r="447" spans="1:6" x14ac:dyDescent="0.3">
      <c r="A447" s="2" t="s">
        <v>1223</v>
      </c>
      <c r="B447" s="2" t="s">
        <v>510</v>
      </c>
      <c r="C447" s="2" t="s">
        <v>756</v>
      </c>
      <c r="D447" s="7">
        <v>23.9</v>
      </c>
      <c r="E447" s="2">
        <v>130</v>
      </c>
      <c r="F447" s="2">
        <v>161</v>
      </c>
    </row>
    <row r="448" spans="1:6" x14ac:dyDescent="0.3">
      <c r="A448" s="2" t="s">
        <v>1224</v>
      </c>
      <c r="B448" s="2" t="s">
        <v>510</v>
      </c>
      <c r="C448" s="2" t="s">
        <v>726</v>
      </c>
      <c r="D448" s="7">
        <v>37.9</v>
      </c>
      <c r="E448" s="2">
        <v>80</v>
      </c>
      <c r="F448" s="2">
        <v>138</v>
      </c>
    </row>
    <row r="449" spans="1:6" x14ac:dyDescent="0.3">
      <c r="A449" s="2" t="s">
        <v>1225</v>
      </c>
      <c r="B449" s="2" t="s">
        <v>510</v>
      </c>
      <c r="C449" s="2" t="s">
        <v>695</v>
      </c>
      <c r="D449" s="7">
        <v>20.7</v>
      </c>
      <c r="E449" s="2">
        <v>106</v>
      </c>
      <c r="F449" s="2">
        <v>134</v>
      </c>
    </row>
    <row r="450" spans="1:6" x14ac:dyDescent="0.3">
      <c r="A450" s="2" t="s">
        <v>1226</v>
      </c>
      <c r="B450" s="2" t="s">
        <v>510</v>
      </c>
      <c r="C450" s="2" t="s">
        <v>703</v>
      </c>
      <c r="D450" s="7">
        <v>17.5</v>
      </c>
      <c r="E450" s="2">
        <v>98</v>
      </c>
      <c r="F450" s="2">
        <v>177</v>
      </c>
    </row>
    <row r="451" spans="1:6" x14ac:dyDescent="0.3">
      <c r="A451" s="2" t="s">
        <v>1227</v>
      </c>
      <c r="B451" s="2" t="s">
        <v>512</v>
      </c>
      <c r="C451" s="2" t="s">
        <v>712</v>
      </c>
      <c r="D451" s="7">
        <v>38.1</v>
      </c>
      <c r="E451" s="2">
        <v>73</v>
      </c>
      <c r="F451" s="2">
        <v>82</v>
      </c>
    </row>
    <row r="452" spans="1:6" x14ac:dyDescent="0.3">
      <c r="A452" s="2" t="s">
        <v>1228</v>
      </c>
      <c r="B452" s="2" t="s">
        <v>512</v>
      </c>
      <c r="C452" s="2" t="s">
        <v>760</v>
      </c>
      <c r="D452" s="7">
        <v>25</v>
      </c>
      <c r="E452" s="2">
        <v>69</v>
      </c>
      <c r="F452" s="2">
        <v>129</v>
      </c>
    </row>
    <row r="453" spans="1:6" x14ac:dyDescent="0.3">
      <c r="A453" s="2" t="s">
        <v>1229</v>
      </c>
      <c r="B453" s="2" t="s">
        <v>512</v>
      </c>
      <c r="C453" s="2" t="s">
        <v>768</v>
      </c>
      <c r="D453" s="7">
        <v>36.9</v>
      </c>
      <c r="E453" s="2">
        <v>123</v>
      </c>
      <c r="F453" s="2">
        <v>113</v>
      </c>
    </row>
    <row r="454" spans="1:6" x14ac:dyDescent="0.3">
      <c r="A454" s="2" t="s">
        <v>1230</v>
      </c>
      <c r="B454" s="2" t="s">
        <v>514</v>
      </c>
      <c r="C454" s="2" t="s">
        <v>703</v>
      </c>
      <c r="D454" s="7">
        <v>39.9</v>
      </c>
      <c r="E454" s="2">
        <v>162</v>
      </c>
      <c r="F454" s="2">
        <v>65</v>
      </c>
    </row>
    <row r="455" spans="1:6" x14ac:dyDescent="0.3">
      <c r="A455" s="2" t="s">
        <v>1231</v>
      </c>
      <c r="B455" s="2" t="s">
        <v>514</v>
      </c>
      <c r="C455" s="2" t="s">
        <v>688</v>
      </c>
      <c r="D455" s="7">
        <v>60.1</v>
      </c>
      <c r="E455" s="2">
        <v>139</v>
      </c>
      <c r="F455" s="2">
        <v>87</v>
      </c>
    </row>
    <row r="456" spans="1:6" x14ac:dyDescent="0.3">
      <c r="A456" s="2" t="s">
        <v>1232</v>
      </c>
      <c r="B456" s="2" t="s">
        <v>516</v>
      </c>
      <c r="C456" s="2" t="s">
        <v>720</v>
      </c>
      <c r="D456" s="7">
        <v>21.3</v>
      </c>
      <c r="E456" s="2">
        <v>75</v>
      </c>
      <c r="F456" s="2">
        <v>90</v>
      </c>
    </row>
    <row r="457" spans="1:6" x14ac:dyDescent="0.3">
      <c r="A457" s="2" t="s">
        <v>1233</v>
      </c>
      <c r="B457" s="2" t="s">
        <v>516</v>
      </c>
      <c r="C457" s="2" t="s">
        <v>752</v>
      </c>
      <c r="D457" s="7">
        <v>28</v>
      </c>
      <c r="E457" s="2">
        <v>157</v>
      </c>
      <c r="F457" s="2">
        <v>177</v>
      </c>
    </row>
    <row r="458" spans="1:6" x14ac:dyDescent="0.3">
      <c r="A458" s="2" t="s">
        <v>1234</v>
      </c>
      <c r="B458" s="2" t="s">
        <v>516</v>
      </c>
      <c r="C458" s="2" t="s">
        <v>712</v>
      </c>
      <c r="D458" s="7">
        <v>17.100000000000001</v>
      </c>
      <c r="E458" s="2">
        <v>160</v>
      </c>
      <c r="F458" s="2">
        <v>110</v>
      </c>
    </row>
    <row r="459" spans="1:6" x14ac:dyDescent="0.3">
      <c r="A459" s="2" t="s">
        <v>1235</v>
      </c>
      <c r="B459" s="2" t="s">
        <v>516</v>
      </c>
      <c r="C459" s="2" t="s">
        <v>772</v>
      </c>
      <c r="D459" s="7">
        <v>33.700000000000003</v>
      </c>
      <c r="E459" s="2">
        <v>145</v>
      </c>
      <c r="F459" s="2">
        <v>167</v>
      </c>
    </row>
    <row r="460" spans="1:6" x14ac:dyDescent="0.3">
      <c r="A460" s="2" t="s">
        <v>1236</v>
      </c>
      <c r="B460" s="2" t="s">
        <v>518</v>
      </c>
      <c r="C460" s="2" t="s">
        <v>748</v>
      </c>
      <c r="D460" s="7">
        <v>19.5</v>
      </c>
      <c r="E460" s="2">
        <v>159</v>
      </c>
      <c r="F460" s="2">
        <v>64</v>
      </c>
    </row>
    <row r="461" spans="1:6" x14ac:dyDescent="0.3">
      <c r="A461" s="2" t="s">
        <v>1237</v>
      </c>
      <c r="B461" s="2" t="s">
        <v>518</v>
      </c>
      <c r="C461" s="2" t="s">
        <v>685</v>
      </c>
      <c r="D461" s="7">
        <v>39.6</v>
      </c>
      <c r="E461" s="2">
        <v>163</v>
      </c>
      <c r="F461" s="2">
        <v>142</v>
      </c>
    </row>
    <row r="462" spans="1:6" x14ac:dyDescent="0.3">
      <c r="A462" s="2" t="s">
        <v>1238</v>
      </c>
      <c r="B462" s="2" t="s">
        <v>518</v>
      </c>
      <c r="C462" s="2" t="s">
        <v>736</v>
      </c>
      <c r="D462" s="7">
        <v>40.9</v>
      </c>
      <c r="E462" s="2">
        <v>89</v>
      </c>
      <c r="F462" s="2">
        <v>152</v>
      </c>
    </row>
    <row r="463" spans="1:6" x14ac:dyDescent="0.3">
      <c r="A463" s="2" t="s">
        <v>1239</v>
      </c>
      <c r="B463" s="2" t="s">
        <v>520</v>
      </c>
      <c r="C463" s="2" t="s">
        <v>716</v>
      </c>
      <c r="D463" s="7">
        <v>38.299999999999997</v>
      </c>
      <c r="E463" s="2">
        <v>78</v>
      </c>
      <c r="F463" s="2">
        <v>50</v>
      </c>
    </row>
    <row r="464" spans="1:6" x14ac:dyDescent="0.3">
      <c r="A464" s="2" t="s">
        <v>1240</v>
      </c>
      <c r="B464" s="2" t="s">
        <v>520</v>
      </c>
      <c r="C464" s="2" t="s">
        <v>724</v>
      </c>
      <c r="D464" s="7">
        <v>31</v>
      </c>
      <c r="E464" s="2">
        <v>99</v>
      </c>
      <c r="F464" s="2">
        <v>71</v>
      </c>
    </row>
    <row r="465" spans="1:6" x14ac:dyDescent="0.3">
      <c r="A465" s="2" t="s">
        <v>1241</v>
      </c>
      <c r="B465" s="2" t="s">
        <v>520</v>
      </c>
      <c r="C465" s="2" t="s">
        <v>736</v>
      </c>
      <c r="D465" s="7">
        <v>30.7</v>
      </c>
      <c r="E465" s="2">
        <v>171</v>
      </c>
      <c r="F465" s="2">
        <v>89</v>
      </c>
    </row>
    <row r="466" spans="1:6" x14ac:dyDescent="0.3">
      <c r="A466" s="2" t="s">
        <v>1242</v>
      </c>
      <c r="B466" s="2" t="s">
        <v>522</v>
      </c>
      <c r="C466" s="2" t="s">
        <v>742</v>
      </c>
      <c r="D466" s="7">
        <v>51.3</v>
      </c>
      <c r="E466" s="2">
        <v>101</v>
      </c>
      <c r="F466" s="2">
        <v>110</v>
      </c>
    </row>
    <row r="467" spans="1:6" x14ac:dyDescent="0.3">
      <c r="A467" s="2" t="s">
        <v>1243</v>
      </c>
      <c r="B467" s="2" t="s">
        <v>522</v>
      </c>
      <c r="C467" s="2" t="s">
        <v>732</v>
      </c>
      <c r="D467" s="7">
        <v>48.7</v>
      </c>
      <c r="E467" s="2">
        <v>105</v>
      </c>
      <c r="F467" s="2">
        <v>138</v>
      </c>
    </row>
    <row r="468" spans="1:6" x14ac:dyDescent="0.3">
      <c r="A468" s="2" t="s">
        <v>1244</v>
      </c>
      <c r="B468" s="2" t="s">
        <v>524</v>
      </c>
      <c r="C468" s="2" t="s">
        <v>766</v>
      </c>
      <c r="D468" s="7">
        <v>22.2</v>
      </c>
      <c r="E468" s="2">
        <v>165</v>
      </c>
      <c r="F468" s="2">
        <v>52</v>
      </c>
    </row>
    <row r="469" spans="1:6" x14ac:dyDescent="0.3">
      <c r="A469" s="2" t="s">
        <v>1245</v>
      </c>
      <c r="B469" s="2" t="s">
        <v>524</v>
      </c>
      <c r="C469" s="2" t="s">
        <v>742</v>
      </c>
      <c r="D469" s="7">
        <v>33.799999999999997</v>
      </c>
      <c r="E469" s="2">
        <v>150</v>
      </c>
      <c r="F469" s="2">
        <v>101</v>
      </c>
    </row>
    <row r="470" spans="1:6" x14ac:dyDescent="0.3">
      <c r="A470" s="2" t="s">
        <v>1246</v>
      </c>
      <c r="B470" s="2" t="s">
        <v>524</v>
      </c>
      <c r="C470" s="2" t="s">
        <v>705</v>
      </c>
      <c r="D470" s="7">
        <v>26.1</v>
      </c>
      <c r="E470" s="2">
        <v>164</v>
      </c>
      <c r="F470" s="2">
        <v>77</v>
      </c>
    </row>
    <row r="471" spans="1:6" x14ac:dyDescent="0.3">
      <c r="A471" s="2" t="s">
        <v>1247</v>
      </c>
      <c r="B471" s="2" t="s">
        <v>524</v>
      </c>
      <c r="C471" s="2" t="s">
        <v>744</v>
      </c>
      <c r="D471" s="7">
        <v>17.899999999999999</v>
      </c>
      <c r="E471" s="2">
        <v>129</v>
      </c>
      <c r="F471" s="2">
        <v>106</v>
      </c>
    </row>
    <row r="472" spans="1:6" x14ac:dyDescent="0.3">
      <c r="A472" s="2" t="s">
        <v>1248</v>
      </c>
      <c r="B472" s="2" t="s">
        <v>526</v>
      </c>
      <c r="C472" s="2" t="s">
        <v>754</v>
      </c>
      <c r="D472" s="7">
        <v>32.799999999999997</v>
      </c>
      <c r="E472" s="2">
        <v>107</v>
      </c>
      <c r="F472" s="2">
        <v>133</v>
      </c>
    </row>
    <row r="473" spans="1:6" x14ac:dyDescent="0.3">
      <c r="A473" s="2" t="s">
        <v>1249</v>
      </c>
      <c r="B473" s="2" t="s">
        <v>526</v>
      </c>
      <c r="C473" s="2" t="s">
        <v>762</v>
      </c>
      <c r="D473" s="7">
        <v>40.4</v>
      </c>
      <c r="E473" s="2">
        <v>173</v>
      </c>
      <c r="F473" s="2">
        <v>50</v>
      </c>
    </row>
    <row r="474" spans="1:6" x14ac:dyDescent="0.3">
      <c r="A474" s="2" t="s">
        <v>1250</v>
      </c>
      <c r="B474" s="2" t="s">
        <v>526</v>
      </c>
      <c r="C474" s="2" t="s">
        <v>697</v>
      </c>
      <c r="D474" s="7">
        <v>26.8</v>
      </c>
      <c r="E474" s="2">
        <v>62</v>
      </c>
      <c r="F474" s="2">
        <v>135</v>
      </c>
    </row>
    <row r="475" spans="1:6" x14ac:dyDescent="0.3">
      <c r="A475" s="2" t="s">
        <v>1251</v>
      </c>
      <c r="B475" s="2" t="s">
        <v>528</v>
      </c>
      <c r="C475" s="2" t="s">
        <v>736</v>
      </c>
      <c r="D475" s="7">
        <v>29.7</v>
      </c>
      <c r="E475" s="2">
        <v>125</v>
      </c>
      <c r="F475" s="2">
        <v>159</v>
      </c>
    </row>
    <row r="476" spans="1:6" x14ac:dyDescent="0.3">
      <c r="A476" s="2" t="s">
        <v>1252</v>
      </c>
      <c r="B476" s="2" t="s">
        <v>528</v>
      </c>
      <c r="C476" s="2" t="s">
        <v>754</v>
      </c>
      <c r="D476" s="7">
        <v>29.4</v>
      </c>
      <c r="E476" s="2">
        <v>152</v>
      </c>
      <c r="F476" s="2">
        <v>163</v>
      </c>
    </row>
    <row r="477" spans="1:6" x14ac:dyDescent="0.3">
      <c r="A477" s="2" t="s">
        <v>1253</v>
      </c>
      <c r="B477" s="2" t="s">
        <v>528</v>
      </c>
      <c r="C477" s="2" t="s">
        <v>685</v>
      </c>
      <c r="D477" s="7">
        <v>18.399999999999999</v>
      </c>
      <c r="E477" s="2">
        <v>171</v>
      </c>
      <c r="F477" s="2">
        <v>53</v>
      </c>
    </row>
    <row r="478" spans="1:6" x14ac:dyDescent="0.3">
      <c r="A478" s="2" t="s">
        <v>1254</v>
      </c>
      <c r="B478" s="2" t="s">
        <v>528</v>
      </c>
      <c r="C478" s="2" t="s">
        <v>748</v>
      </c>
      <c r="D478" s="7">
        <v>22.6</v>
      </c>
      <c r="E478" s="2">
        <v>180</v>
      </c>
      <c r="F478" s="2">
        <v>75</v>
      </c>
    </row>
    <row r="479" spans="1:6" x14ac:dyDescent="0.3">
      <c r="A479" s="2" t="s">
        <v>1255</v>
      </c>
      <c r="B479" s="2" t="s">
        <v>530</v>
      </c>
      <c r="C479" s="2" t="s">
        <v>688</v>
      </c>
      <c r="D479" s="7">
        <v>44.5</v>
      </c>
      <c r="E479" s="2">
        <v>177</v>
      </c>
      <c r="F479" s="2">
        <v>168</v>
      </c>
    </row>
    <row r="480" spans="1:6" x14ac:dyDescent="0.3">
      <c r="A480" s="2" t="s">
        <v>1256</v>
      </c>
      <c r="B480" s="2" t="s">
        <v>530</v>
      </c>
      <c r="C480" s="2" t="s">
        <v>726</v>
      </c>
      <c r="D480" s="7">
        <v>24.3</v>
      </c>
      <c r="E480" s="2">
        <v>110</v>
      </c>
      <c r="F480" s="2">
        <v>130</v>
      </c>
    </row>
    <row r="481" spans="1:6" x14ac:dyDescent="0.3">
      <c r="A481" s="2" t="s">
        <v>1257</v>
      </c>
      <c r="B481" s="2" t="s">
        <v>530</v>
      </c>
      <c r="C481" s="2" t="s">
        <v>742</v>
      </c>
      <c r="D481" s="7">
        <v>31.2</v>
      </c>
      <c r="E481" s="2">
        <v>95</v>
      </c>
      <c r="F481" s="2">
        <v>116</v>
      </c>
    </row>
    <row r="482" spans="1:6" x14ac:dyDescent="0.3">
      <c r="A482" s="2" t="s">
        <v>1258</v>
      </c>
      <c r="B482" s="2" t="s">
        <v>532</v>
      </c>
      <c r="C482" s="2" t="s">
        <v>677</v>
      </c>
      <c r="D482" s="7">
        <v>26.2</v>
      </c>
      <c r="E482" s="2">
        <v>130</v>
      </c>
      <c r="F482" s="2">
        <v>73</v>
      </c>
    </row>
    <row r="483" spans="1:6" x14ac:dyDescent="0.3">
      <c r="A483" s="2" t="s">
        <v>1259</v>
      </c>
      <c r="B483" s="2" t="s">
        <v>532</v>
      </c>
      <c r="C483" s="2" t="s">
        <v>724</v>
      </c>
      <c r="D483" s="7">
        <v>27.2</v>
      </c>
      <c r="E483" s="2">
        <v>175</v>
      </c>
      <c r="F483" s="2">
        <v>117</v>
      </c>
    </row>
    <row r="484" spans="1:6" x14ac:dyDescent="0.3">
      <c r="A484" s="2" t="s">
        <v>1260</v>
      </c>
      <c r="B484" s="2" t="s">
        <v>532</v>
      </c>
      <c r="C484" s="2" t="s">
        <v>760</v>
      </c>
      <c r="D484" s="7">
        <v>21.3</v>
      </c>
      <c r="E484" s="2">
        <v>152</v>
      </c>
      <c r="F484" s="2">
        <v>93</v>
      </c>
    </row>
    <row r="485" spans="1:6" x14ac:dyDescent="0.3">
      <c r="A485" s="2" t="s">
        <v>1261</v>
      </c>
      <c r="B485" s="2" t="s">
        <v>532</v>
      </c>
      <c r="C485" s="2" t="s">
        <v>742</v>
      </c>
      <c r="D485" s="7">
        <v>25.3</v>
      </c>
      <c r="E485" s="2">
        <v>64</v>
      </c>
      <c r="F485" s="2">
        <v>104</v>
      </c>
    </row>
    <row r="486" spans="1:6" x14ac:dyDescent="0.3">
      <c r="A486" s="2" t="s">
        <v>1262</v>
      </c>
      <c r="B486" s="2" t="s">
        <v>534</v>
      </c>
      <c r="C486" s="2" t="s">
        <v>762</v>
      </c>
      <c r="D486" s="7">
        <v>30.3</v>
      </c>
      <c r="E486" s="2">
        <v>179</v>
      </c>
      <c r="F486" s="2">
        <v>72</v>
      </c>
    </row>
    <row r="487" spans="1:6" x14ac:dyDescent="0.3">
      <c r="A487" s="2" t="s">
        <v>1263</v>
      </c>
      <c r="B487" s="2" t="s">
        <v>534</v>
      </c>
      <c r="C487" s="2" t="s">
        <v>718</v>
      </c>
      <c r="D487" s="7">
        <v>32.9</v>
      </c>
      <c r="E487" s="2">
        <v>115</v>
      </c>
      <c r="F487" s="2">
        <v>97</v>
      </c>
    </row>
    <row r="488" spans="1:6" x14ac:dyDescent="0.3">
      <c r="A488" s="2" t="s">
        <v>1264</v>
      </c>
      <c r="B488" s="2" t="s">
        <v>534</v>
      </c>
      <c r="C488" s="2" t="s">
        <v>693</v>
      </c>
      <c r="D488" s="7">
        <v>36.799999999999997</v>
      </c>
      <c r="E488" s="2">
        <v>79</v>
      </c>
      <c r="F488" s="2">
        <v>51</v>
      </c>
    </row>
    <row r="489" spans="1:6" x14ac:dyDescent="0.3">
      <c r="A489" s="2" t="s">
        <v>1265</v>
      </c>
      <c r="B489" s="2" t="s">
        <v>536</v>
      </c>
      <c r="C489" s="2" t="s">
        <v>712</v>
      </c>
      <c r="D489" s="7">
        <v>30.5</v>
      </c>
      <c r="E489" s="2">
        <v>174</v>
      </c>
      <c r="F489" s="2">
        <v>82</v>
      </c>
    </row>
    <row r="490" spans="1:6" x14ac:dyDescent="0.3">
      <c r="A490" s="2" t="s">
        <v>1266</v>
      </c>
      <c r="B490" s="2" t="s">
        <v>536</v>
      </c>
      <c r="C490" s="2" t="s">
        <v>677</v>
      </c>
      <c r="D490" s="7">
        <v>30.3</v>
      </c>
      <c r="E490" s="2">
        <v>121</v>
      </c>
      <c r="F490" s="2">
        <v>96</v>
      </c>
    </row>
    <row r="491" spans="1:6" x14ac:dyDescent="0.3">
      <c r="A491" s="2" t="s">
        <v>1267</v>
      </c>
      <c r="B491" s="2" t="s">
        <v>536</v>
      </c>
      <c r="C491" s="2" t="s">
        <v>766</v>
      </c>
      <c r="D491" s="7">
        <v>20.9</v>
      </c>
      <c r="E491" s="2">
        <v>154</v>
      </c>
      <c r="F491" s="2">
        <v>84</v>
      </c>
    </row>
    <row r="492" spans="1:6" x14ac:dyDescent="0.3">
      <c r="A492" s="2" t="s">
        <v>1268</v>
      </c>
      <c r="B492" s="2" t="s">
        <v>536</v>
      </c>
      <c r="C492" s="2" t="s">
        <v>718</v>
      </c>
      <c r="D492" s="7">
        <v>18.2</v>
      </c>
      <c r="E492" s="2">
        <v>124</v>
      </c>
      <c r="F492" s="2">
        <v>125</v>
      </c>
    </row>
    <row r="493" spans="1:6" x14ac:dyDescent="0.3">
      <c r="A493" s="2" t="s">
        <v>1269</v>
      </c>
      <c r="B493" s="2" t="s">
        <v>538</v>
      </c>
      <c r="C493" s="2" t="s">
        <v>764</v>
      </c>
      <c r="D493" s="7">
        <v>60.4</v>
      </c>
      <c r="E493" s="2">
        <v>119</v>
      </c>
      <c r="F493" s="2">
        <v>58</v>
      </c>
    </row>
    <row r="494" spans="1:6" x14ac:dyDescent="0.3">
      <c r="A494" s="2" t="s">
        <v>1270</v>
      </c>
      <c r="B494" s="2" t="s">
        <v>538</v>
      </c>
      <c r="C494" s="2" t="s">
        <v>709</v>
      </c>
      <c r="D494" s="7">
        <v>39.6</v>
      </c>
      <c r="E494" s="2">
        <v>173</v>
      </c>
      <c r="F494" s="2">
        <v>85</v>
      </c>
    </row>
    <row r="495" spans="1:6" x14ac:dyDescent="0.3">
      <c r="A495" s="2" t="s">
        <v>1271</v>
      </c>
      <c r="B495" s="2" t="s">
        <v>540</v>
      </c>
      <c r="C495" s="2" t="s">
        <v>732</v>
      </c>
      <c r="D495" s="7">
        <v>19.7</v>
      </c>
      <c r="E495" s="2">
        <v>98</v>
      </c>
      <c r="F495" s="2">
        <v>122</v>
      </c>
    </row>
    <row r="496" spans="1:6" x14ac:dyDescent="0.3">
      <c r="A496" s="2" t="s">
        <v>1272</v>
      </c>
      <c r="B496" s="2" t="s">
        <v>540</v>
      </c>
      <c r="C496" s="2" t="s">
        <v>756</v>
      </c>
      <c r="D496" s="7">
        <v>30.9</v>
      </c>
      <c r="E496" s="2">
        <v>78</v>
      </c>
      <c r="F496" s="2">
        <v>103</v>
      </c>
    </row>
    <row r="497" spans="1:6" x14ac:dyDescent="0.3">
      <c r="A497" s="2" t="s">
        <v>1273</v>
      </c>
      <c r="B497" s="2" t="s">
        <v>540</v>
      </c>
      <c r="C497" s="2" t="s">
        <v>770</v>
      </c>
      <c r="D497" s="7">
        <v>19</v>
      </c>
      <c r="E497" s="2">
        <v>84</v>
      </c>
      <c r="F497" s="2">
        <v>161</v>
      </c>
    </row>
    <row r="498" spans="1:6" x14ac:dyDescent="0.3">
      <c r="A498" s="2" t="s">
        <v>1274</v>
      </c>
      <c r="B498" s="2" t="s">
        <v>540</v>
      </c>
      <c r="C498" s="2" t="s">
        <v>718</v>
      </c>
      <c r="D498" s="7">
        <v>30.4</v>
      </c>
      <c r="E498" s="2">
        <v>77</v>
      </c>
      <c r="F498" s="2">
        <v>166</v>
      </c>
    </row>
    <row r="499" spans="1:6" x14ac:dyDescent="0.3">
      <c r="A499" s="2" t="s">
        <v>1275</v>
      </c>
      <c r="B499" s="2" t="s">
        <v>542</v>
      </c>
      <c r="C499" s="2" t="s">
        <v>712</v>
      </c>
      <c r="D499" s="7">
        <v>20.399999999999999</v>
      </c>
      <c r="E499" s="2">
        <v>93</v>
      </c>
      <c r="F499" s="2">
        <v>119</v>
      </c>
    </row>
    <row r="500" spans="1:6" x14ac:dyDescent="0.3">
      <c r="A500" s="2" t="s">
        <v>1276</v>
      </c>
      <c r="B500" s="2" t="s">
        <v>542</v>
      </c>
      <c r="C500" s="2" t="s">
        <v>752</v>
      </c>
      <c r="D500" s="7">
        <v>24.7</v>
      </c>
      <c r="E500" s="2">
        <v>102</v>
      </c>
      <c r="F500" s="2">
        <v>159</v>
      </c>
    </row>
    <row r="501" spans="1:6" x14ac:dyDescent="0.3">
      <c r="A501" s="2" t="s">
        <v>1277</v>
      </c>
      <c r="B501" s="2" t="s">
        <v>542</v>
      </c>
      <c r="C501" s="2" t="s">
        <v>695</v>
      </c>
      <c r="D501" s="7">
        <v>24.9</v>
      </c>
      <c r="E501" s="2">
        <v>75</v>
      </c>
      <c r="F501" s="2">
        <v>108</v>
      </c>
    </row>
    <row r="502" spans="1:6" x14ac:dyDescent="0.3">
      <c r="A502" s="2" t="s">
        <v>1278</v>
      </c>
      <c r="B502" s="2" t="s">
        <v>542</v>
      </c>
      <c r="C502" s="2" t="s">
        <v>772</v>
      </c>
      <c r="D502" s="7">
        <v>29.9</v>
      </c>
      <c r="E502" s="2">
        <v>112</v>
      </c>
      <c r="F502" s="2">
        <v>68</v>
      </c>
    </row>
    <row r="503" spans="1:6" x14ac:dyDescent="0.3">
      <c r="A503" s="2" t="s">
        <v>1279</v>
      </c>
      <c r="B503" s="2" t="s">
        <v>544</v>
      </c>
      <c r="C503" s="2" t="s">
        <v>758</v>
      </c>
      <c r="D503" s="7">
        <v>49.1</v>
      </c>
      <c r="E503" s="2">
        <v>88</v>
      </c>
      <c r="F503" s="2">
        <v>129</v>
      </c>
    </row>
    <row r="504" spans="1:6" x14ac:dyDescent="0.3">
      <c r="A504" s="2" t="s">
        <v>1280</v>
      </c>
      <c r="B504" s="2" t="s">
        <v>544</v>
      </c>
      <c r="C504" s="2" t="s">
        <v>685</v>
      </c>
      <c r="D504" s="7">
        <v>50.9</v>
      </c>
      <c r="E504" s="2">
        <v>70</v>
      </c>
      <c r="F504" s="2">
        <v>172</v>
      </c>
    </row>
    <row r="505" spans="1:6" x14ac:dyDescent="0.3">
      <c r="A505" s="2" t="s">
        <v>1281</v>
      </c>
      <c r="B505" s="2" t="s">
        <v>546</v>
      </c>
      <c r="C505" s="2" t="s">
        <v>772</v>
      </c>
      <c r="D505" s="7">
        <v>28.3</v>
      </c>
      <c r="E505" s="2">
        <v>128</v>
      </c>
      <c r="F505" s="2">
        <v>135</v>
      </c>
    </row>
    <row r="506" spans="1:6" x14ac:dyDescent="0.3">
      <c r="A506" s="2" t="s">
        <v>1282</v>
      </c>
      <c r="B506" s="2" t="s">
        <v>546</v>
      </c>
      <c r="C506" s="2" t="s">
        <v>762</v>
      </c>
      <c r="D506" s="7">
        <v>34.9</v>
      </c>
      <c r="E506" s="2">
        <v>77</v>
      </c>
      <c r="F506" s="2">
        <v>130</v>
      </c>
    </row>
    <row r="507" spans="1:6" x14ac:dyDescent="0.3">
      <c r="A507" s="2" t="s">
        <v>1283</v>
      </c>
      <c r="B507" s="2" t="s">
        <v>546</v>
      </c>
      <c r="C507" s="2" t="s">
        <v>709</v>
      </c>
      <c r="D507" s="7">
        <v>36.799999999999997</v>
      </c>
      <c r="E507" s="2">
        <v>173</v>
      </c>
      <c r="F507" s="2">
        <v>163</v>
      </c>
    </row>
    <row r="508" spans="1:6" x14ac:dyDescent="0.3">
      <c r="A508" s="2" t="s">
        <v>1284</v>
      </c>
      <c r="B508" s="2" t="s">
        <v>548</v>
      </c>
      <c r="C508" s="2" t="s">
        <v>730</v>
      </c>
      <c r="D508" s="7">
        <v>24.8</v>
      </c>
      <c r="E508" s="2">
        <v>68</v>
      </c>
      <c r="F508" s="2">
        <v>146</v>
      </c>
    </row>
    <row r="509" spans="1:6" x14ac:dyDescent="0.3">
      <c r="A509" s="2" t="s">
        <v>1285</v>
      </c>
      <c r="B509" s="2" t="s">
        <v>548</v>
      </c>
      <c r="C509" s="2" t="s">
        <v>703</v>
      </c>
      <c r="D509" s="7">
        <v>30.9</v>
      </c>
      <c r="E509" s="2">
        <v>93</v>
      </c>
      <c r="F509" s="2">
        <v>58</v>
      </c>
    </row>
    <row r="510" spans="1:6" x14ac:dyDescent="0.3">
      <c r="A510" s="2" t="s">
        <v>1286</v>
      </c>
      <c r="B510" s="2" t="s">
        <v>548</v>
      </c>
      <c r="C510" s="2" t="s">
        <v>750</v>
      </c>
      <c r="D510" s="7">
        <v>26.7</v>
      </c>
      <c r="E510" s="2">
        <v>66</v>
      </c>
      <c r="F510" s="2">
        <v>68</v>
      </c>
    </row>
    <row r="511" spans="1:6" x14ac:dyDescent="0.3">
      <c r="A511" s="2" t="s">
        <v>1287</v>
      </c>
      <c r="B511" s="2" t="s">
        <v>548</v>
      </c>
      <c r="C511" s="2" t="s">
        <v>724</v>
      </c>
      <c r="D511" s="7">
        <v>17.600000000000001</v>
      </c>
      <c r="E511" s="2">
        <v>162</v>
      </c>
      <c r="F511" s="2">
        <v>163</v>
      </c>
    </row>
    <row r="512" spans="1:6" x14ac:dyDescent="0.3">
      <c r="A512" s="2" t="s">
        <v>1288</v>
      </c>
      <c r="B512" s="2" t="s">
        <v>550</v>
      </c>
      <c r="C512" s="2" t="s">
        <v>758</v>
      </c>
      <c r="D512" s="7">
        <v>27.3</v>
      </c>
      <c r="E512" s="2">
        <v>68</v>
      </c>
      <c r="F512" s="2">
        <v>159</v>
      </c>
    </row>
    <row r="513" spans="1:6" x14ac:dyDescent="0.3">
      <c r="A513" s="2" t="s">
        <v>1289</v>
      </c>
      <c r="B513" s="2" t="s">
        <v>550</v>
      </c>
      <c r="C513" s="2" t="s">
        <v>746</v>
      </c>
      <c r="D513" s="7">
        <v>24.8</v>
      </c>
      <c r="E513" s="2">
        <v>96</v>
      </c>
      <c r="F513" s="2">
        <v>143</v>
      </c>
    </row>
    <row r="514" spans="1:6" x14ac:dyDescent="0.3">
      <c r="A514" s="2" t="s">
        <v>1290</v>
      </c>
      <c r="B514" s="2" t="s">
        <v>550</v>
      </c>
      <c r="C514" s="2" t="s">
        <v>697</v>
      </c>
      <c r="D514" s="7">
        <v>18.600000000000001</v>
      </c>
      <c r="E514" s="2">
        <v>176</v>
      </c>
      <c r="F514" s="2">
        <v>132</v>
      </c>
    </row>
    <row r="515" spans="1:6" x14ac:dyDescent="0.3">
      <c r="A515" s="2" t="s">
        <v>1291</v>
      </c>
      <c r="B515" s="2" t="s">
        <v>550</v>
      </c>
      <c r="C515" s="2" t="s">
        <v>760</v>
      </c>
      <c r="D515" s="7">
        <v>29.3</v>
      </c>
      <c r="E515" s="2">
        <v>112</v>
      </c>
      <c r="F515" s="2">
        <v>129</v>
      </c>
    </row>
    <row r="516" spans="1:6" x14ac:dyDescent="0.3">
      <c r="A516" s="2" t="s">
        <v>1292</v>
      </c>
      <c r="B516" s="2" t="s">
        <v>552</v>
      </c>
      <c r="C516" s="2" t="s">
        <v>726</v>
      </c>
      <c r="D516" s="7">
        <v>28.5</v>
      </c>
      <c r="E516" s="2">
        <v>148</v>
      </c>
      <c r="F516" s="2">
        <v>129</v>
      </c>
    </row>
    <row r="517" spans="1:6" x14ac:dyDescent="0.3">
      <c r="A517" s="2" t="s">
        <v>1293</v>
      </c>
      <c r="B517" s="2" t="s">
        <v>552</v>
      </c>
      <c r="C517" s="2" t="s">
        <v>766</v>
      </c>
      <c r="D517" s="7">
        <v>26</v>
      </c>
      <c r="E517" s="2">
        <v>65</v>
      </c>
      <c r="F517" s="2">
        <v>141</v>
      </c>
    </row>
    <row r="518" spans="1:6" x14ac:dyDescent="0.3">
      <c r="A518" s="2" t="s">
        <v>1294</v>
      </c>
      <c r="B518" s="2" t="s">
        <v>552</v>
      </c>
      <c r="C518" s="2" t="s">
        <v>718</v>
      </c>
      <c r="D518" s="7">
        <v>27.2</v>
      </c>
      <c r="E518" s="2">
        <v>97</v>
      </c>
      <c r="F518" s="2">
        <v>141</v>
      </c>
    </row>
    <row r="519" spans="1:6" x14ac:dyDescent="0.3">
      <c r="A519" s="2" t="s">
        <v>1295</v>
      </c>
      <c r="B519" s="2" t="s">
        <v>552</v>
      </c>
      <c r="C519" s="2" t="s">
        <v>736</v>
      </c>
      <c r="D519" s="7">
        <v>18.3</v>
      </c>
      <c r="E519" s="2">
        <v>140</v>
      </c>
      <c r="F519" s="2">
        <v>120</v>
      </c>
    </row>
    <row r="520" spans="1:6" x14ac:dyDescent="0.3">
      <c r="A520" s="2" t="s">
        <v>1296</v>
      </c>
      <c r="B520" s="2" t="s">
        <v>554</v>
      </c>
      <c r="C520" s="2" t="s">
        <v>681</v>
      </c>
      <c r="D520" s="7">
        <v>49.8</v>
      </c>
      <c r="E520" s="2">
        <v>101</v>
      </c>
      <c r="F520" s="2">
        <v>168</v>
      </c>
    </row>
    <row r="521" spans="1:6" x14ac:dyDescent="0.3">
      <c r="A521" s="2" t="s">
        <v>1297</v>
      </c>
      <c r="B521" s="2" t="s">
        <v>554</v>
      </c>
      <c r="C521" s="2" t="s">
        <v>764</v>
      </c>
      <c r="D521" s="7">
        <v>50.2</v>
      </c>
      <c r="E521" s="2">
        <v>104</v>
      </c>
      <c r="F521" s="2">
        <v>174</v>
      </c>
    </row>
    <row r="522" spans="1:6" x14ac:dyDescent="0.3">
      <c r="A522" s="2" t="s">
        <v>1298</v>
      </c>
      <c r="B522" s="2" t="s">
        <v>556</v>
      </c>
      <c r="C522" s="2" t="s">
        <v>681</v>
      </c>
      <c r="D522" s="7">
        <v>40</v>
      </c>
      <c r="E522" s="2">
        <v>176</v>
      </c>
      <c r="F522" s="2">
        <v>94</v>
      </c>
    </row>
    <row r="523" spans="1:6" x14ac:dyDescent="0.3">
      <c r="A523" s="2" t="s">
        <v>1299</v>
      </c>
      <c r="B523" s="2" t="s">
        <v>556</v>
      </c>
      <c r="C523" s="2" t="s">
        <v>732</v>
      </c>
      <c r="D523" s="7">
        <v>35.1</v>
      </c>
      <c r="E523" s="2">
        <v>164</v>
      </c>
      <c r="F523" s="2">
        <v>141</v>
      </c>
    </row>
    <row r="524" spans="1:6" x14ac:dyDescent="0.3">
      <c r="A524" s="2" t="s">
        <v>1300</v>
      </c>
      <c r="B524" s="2" t="s">
        <v>556</v>
      </c>
      <c r="C524" s="2" t="s">
        <v>766</v>
      </c>
      <c r="D524" s="7">
        <v>24.9</v>
      </c>
      <c r="E524" s="2">
        <v>84</v>
      </c>
      <c r="F524" s="2">
        <v>93</v>
      </c>
    </row>
    <row r="525" spans="1:6" x14ac:dyDescent="0.3">
      <c r="A525" s="2" t="s">
        <v>1301</v>
      </c>
      <c r="B525" s="2" t="s">
        <v>558</v>
      </c>
      <c r="C525" s="2" t="s">
        <v>703</v>
      </c>
      <c r="D525" s="7">
        <v>21.2</v>
      </c>
      <c r="E525" s="2">
        <v>72</v>
      </c>
      <c r="F525" s="2">
        <v>140</v>
      </c>
    </row>
    <row r="526" spans="1:6" x14ac:dyDescent="0.3">
      <c r="A526" s="2" t="s">
        <v>1302</v>
      </c>
      <c r="B526" s="2" t="s">
        <v>558</v>
      </c>
      <c r="C526" s="2" t="s">
        <v>685</v>
      </c>
      <c r="D526" s="7">
        <v>25.9</v>
      </c>
      <c r="E526" s="2">
        <v>103</v>
      </c>
      <c r="F526" s="2">
        <v>150</v>
      </c>
    </row>
    <row r="527" spans="1:6" x14ac:dyDescent="0.3">
      <c r="A527" s="2" t="s">
        <v>1303</v>
      </c>
      <c r="B527" s="2" t="s">
        <v>558</v>
      </c>
      <c r="C527" s="2" t="s">
        <v>701</v>
      </c>
      <c r="D527" s="7">
        <v>23.1</v>
      </c>
      <c r="E527" s="2">
        <v>130</v>
      </c>
      <c r="F527" s="2">
        <v>171</v>
      </c>
    </row>
    <row r="528" spans="1:6" x14ac:dyDescent="0.3">
      <c r="A528" s="2" t="s">
        <v>1304</v>
      </c>
      <c r="B528" s="2" t="s">
        <v>558</v>
      </c>
      <c r="C528" s="2" t="s">
        <v>762</v>
      </c>
      <c r="D528" s="7">
        <v>29.7</v>
      </c>
      <c r="E528" s="2">
        <v>135</v>
      </c>
      <c r="F528" s="2">
        <v>165</v>
      </c>
    </row>
    <row r="529" spans="1:6" x14ac:dyDescent="0.3">
      <c r="A529" s="2" t="s">
        <v>1305</v>
      </c>
      <c r="B529" s="2" t="s">
        <v>560</v>
      </c>
      <c r="C529" s="2" t="s">
        <v>697</v>
      </c>
      <c r="D529" s="7">
        <v>25.5</v>
      </c>
      <c r="E529" s="2">
        <v>165</v>
      </c>
      <c r="F529" s="2">
        <v>57</v>
      </c>
    </row>
    <row r="530" spans="1:6" x14ac:dyDescent="0.3">
      <c r="A530" s="2" t="s">
        <v>1306</v>
      </c>
      <c r="B530" s="2" t="s">
        <v>560</v>
      </c>
      <c r="C530" s="2" t="s">
        <v>770</v>
      </c>
      <c r="D530" s="7">
        <v>17.3</v>
      </c>
      <c r="E530" s="2">
        <v>132</v>
      </c>
      <c r="F530" s="2">
        <v>53</v>
      </c>
    </row>
    <row r="531" spans="1:6" x14ac:dyDescent="0.3">
      <c r="A531" s="2" t="s">
        <v>1307</v>
      </c>
      <c r="B531" s="2" t="s">
        <v>560</v>
      </c>
      <c r="C531" s="2" t="s">
        <v>738</v>
      </c>
      <c r="D531" s="7">
        <v>34.6</v>
      </c>
      <c r="E531" s="2">
        <v>80</v>
      </c>
      <c r="F531" s="2">
        <v>74</v>
      </c>
    </row>
    <row r="532" spans="1:6" x14ac:dyDescent="0.3">
      <c r="A532" s="2" t="s">
        <v>1308</v>
      </c>
      <c r="B532" s="2" t="s">
        <v>560</v>
      </c>
      <c r="C532" s="2" t="s">
        <v>707</v>
      </c>
      <c r="D532" s="7">
        <v>22.6</v>
      </c>
      <c r="E532" s="2">
        <v>162</v>
      </c>
      <c r="F532" s="2">
        <v>92</v>
      </c>
    </row>
    <row r="533" spans="1:6" x14ac:dyDescent="0.3">
      <c r="A533" s="2" t="s">
        <v>1309</v>
      </c>
      <c r="B533" s="2" t="s">
        <v>562</v>
      </c>
      <c r="C533" s="2" t="s">
        <v>681</v>
      </c>
      <c r="D533" s="7">
        <v>29.4</v>
      </c>
      <c r="E533" s="2">
        <v>176</v>
      </c>
      <c r="F533" s="2">
        <v>53</v>
      </c>
    </row>
    <row r="534" spans="1:6" x14ac:dyDescent="0.3">
      <c r="A534" s="2" t="s">
        <v>1310</v>
      </c>
      <c r="B534" s="2" t="s">
        <v>562</v>
      </c>
      <c r="C534" s="2" t="s">
        <v>770</v>
      </c>
      <c r="D534" s="7">
        <v>28.1</v>
      </c>
      <c r="E534" s="2">
        <v>128</v>
      </c>
      <c r="F534" s="2">
        <v>129</v>
      </c>
    </row>
    <row r="535" spans="1:6" x14ac:dyDescent="0.3">
      <c r="A535" s="2" t="s">
        <v>1311</v>
      </c>
      <c r="B535" s="2" t="s">
        <v>562</v>
      </c>
      <c r="C535" s="2" t="s">
        <v>699</v>
      </c>
      <c r="D535" s="7">
        <v>25.8</v>
      </c>
      <c r="E535" s="2">
        <v>100</v>
      </c>
      <c r="F535" s="2">
        <v>51</v>
      </c>
    </row>
    <row r="536" spans="1:6" x14ac:dyDescent="0.3">
      <c r="A536" s="2" t="s">
        <v>1312</v>
      </c>
      <c r="B536" s="2" t="s">
        <v>562</v>
      </c>
      <c r="C536" s="2" t="s">
        <v>685</v>
      </c>
      <c r="D536" s="7">
        <v>16.7</v>
      </c>
      <c r="E536" s="2">
        <v>169</v>
      </c>
      <c r="F536" s="2">
        <v>92</v>
      </c>
    </row>
    <row r="537" spans="1:6" x14ac:dyDescent="0.3">
      <c r="A537" s="2" t="s">
        <v>1313</v>
      </c>
      <c r="B537" s="2" t="s">
        <v>564</v>
      </c>
      <c r="C537" s="2" t="s">
        <v>705</v>
      </c>
      <c r="D537" s="7">
        <v>35.200000000000003</v>
      </c>
      <c r="E537" s="2">
        <v>164</v>
      </c>
      <c r="F537" s="2">
        <v>96</v>
      </c>
    </row>
    <row r="538" spans="1:6" x14ac:dyDescent="0.3">
      <c r="A538" s="2" t="s">
        <v>1314</v>
      </c>
      <c r="B538" s="2" t="s">
        <v>564</v>
      </c>
      <c r="C538" s="2" t="s">
        <v>732</v>
      </c>
      <c r="D538" s="7">
        <v>40.700000000000003</v>
      </c>
      <c r="E538" s="2">
        <v>146</v>
      </c>
      <c r="F538" s="2">
        <v>102</v>
      </c>
    </row>
    <row r="539" spans="1:6" x14ac:dyDescent="0.3">
      <c r="A539" s="2" t="s">
        <v>1315</v>
      </c>
      <c r="B539" s="2" t="s">
        <v>564</v>
      </c>
      <c r="C539" s="2" t="s">
        <v>714</v>
      </c>
      <c r="D539" s="7">
        <v>24.2</v>
      </c>
      <c r="E539" s="2">
        <v>112</v>
      </c>
      <c r="F539" s="2">
        <v>178</v>
      </c>
    </row>
    <row r="540" spans="1:6" x14ac:dyDescent="0.3">
      <c r="A540" s="2" t="s">
        <v>1316</v>
      </c>
      <c r="B540" s="2" t="s">
        <v>566</v>
      </c>
      <c r="C540" s="2" t="s">
        <v>742</v>
      </c>
      <c r="D540" s="7">
        <v>28.8</v>
      </c>
      <c r="E540" s="2">
        <v>60</v>
      </c>
      <c r="F540" s="2">
        <v>109</v>
      </c>
    </row>
    <row r="541" spans="1:6" x14ac:dyDescent="0.3">
      <c r="A541" s="2" t="s">
        <v>1317</v>
      </c>
      <c r="B541" s="2" t="s">
        <v>566</v>
      </c>
      <c r="C541" s="2" t="s">
        <v>748</v>
      </c>
      <c r="D541" s="7">
        <v>32.1</v>
      </c>
      <c r="E541" s="2">
        <v>71</v>
      </c>
      <c r="F541" s="2">
        <v>93</v>
      </c>
    </row>
    <row r="542" spans="1:6" x14ac:dyDescent="0.3">
      <c r="A542" s="2" t="s">
        <v>1318</v>
      </c>
      <c r="B542" s="2" t="s">
        <v>566</v>
      </c>
      <c r="C542" s="2" t="s">
        <v>730</v>
      </c>
      <c r="D542" s="7">
        <v>39</v>
      </c>
      <c r="E542" s="2">
        <v>174</v>
      </c>
      <c r="F542" s="2">
        <v>157</v>
      </c>
    </row>
    <row r="543" spans="1:6" x14ac:dyDescent="0.3">
      <c r="A543" s="2" t="s">
        <v>1319</v>
      </c>
      <c r="B543" s="2" t="s">
        <v>568</v>
      </c>
      <c r="C543" s="2" t="s">
        <v>703</v>
      </c>
      <c r="D543" s="7">
        <v>28.1</v>
      </c>
      <c r="E543" s="2">
        <v>109</v>
      </c>
      <c r="F543" s="2">
        <v>77</v>
      </c>
    </row>
    <row r="544" spans="1:6" x14ac:dyDescent="0.3">
      <c r="A544" s="2" t="s">
        <v>1320</v>
      </c>
      <c r="B544" s="2" t="s">
        <v>568</v>
      </c>
      <c r="C544" s="2" t="s">
        <v>764</v>
      </c>
      <c r="D544" s="7">
        <v>28.9</v>
      </c>
      <c r="E544" s="2">
        <v>142</v>
      </c>
      <c r="F544" s="2">
        <v>53</v>
      </c>
    </row>
    <row r="545" spans="1:6" x14ac:dyDescent="0.3">
      <c r="A545" s="2" t="s">
        <v>1321</v>
      </c>
      <c r="B545" s="2" t="s">
        <v>568</v>
      </c>
      <c r="C545" s="2" t="s">
        <v>748</v>
      </c>
      <c r="D545" s="7">
        <v>43</v>
      </c>
      <c r="E545" s="2">
        <v>81</v>
      </c>
      <c r="F545" s="2">
        <v>168</v>
      </c>
    </row>
    <row r="546" spans="1:6" x14ac:dyDescent="0.3">
      <c r="A546" s="2" t="s">
        <v>1322</v>
      </c>
      <c r="B546" s="2" t="s">
        <v>570</v>
      </c>
      <c r="C546" s="2" t="s">
        <v>714</v>
      </c>
      <c r="D546" s="7">
        <v>29</v>
      </c>
      <c r="E546" s="2">
        <v>147</v>
      </c>
      <c r="F546" s="2">
        <v>179</v>
      </c>
    </row>
    <row r="547" spans="1:6" x14ac:dyDescent="0.3">
      <c r="A547" s="2" t="s">
        <v>1323</v>
      </c>
      <c r="B547" s="2" t="s">
        <v>570</v>
      </c>
      <c r="C547" s="2" t="s">
        <v>746</v>
      </c>
      <c r="D547" s="7">
        <v>28.7</v>
      </c>
      <c r="E547" s="2">
        <v>90</v>
      </c>
      <c r="F547" s="2">
        <v>157</v>
      </c>
    </row>
    <row r="548" spans="1:6" x14ac:dyDescent="0.3">
      <c r="A548" s="2" t="s">
        <v>1324</v>
      </c>
      <c r="B548" s="2" t="s">
        <v>570</v>
      </c>
      <c r="C548" s="2" t="s">
        <v>732</v>
      </c>
      <c r="D548" s="7">
        <v>42.3</v>
      </c>
      <c r="E548" s="2">
        <v>156</v>
      </c>
      <c r="F548" s="2">
        <v>79</v>
      </c>
    </row>
    <row r="549" spans="1:6" x14ac:dyDescent="0.3">
      <c r="A549" s="2" t="s">
        <v>1325</v>
      </c>
      <c r="B549" s="2" t="s">
        <v>572</v>
      </c>
      <c r="C549" s="2" t="s">
        <v>758</v>
      </c>
      <c r="D549" s="7">
        <v>23.3</v>
      </c>
      <c r="E549" s="2">
        <v>98</v>
      </c>
      <c r="F549" s="2">
        <v>96</v>
      </c>
    </row>
    <row r="550" spans="1:6" x14ac:dyDescent="0.3">
      <c r="A550" s="2" t="s">
        <v>1326</v>
      </c>
      <c r="B550" s="2" t="s">
        <v>572</v>
      </c>
      <c r="C550" s="2" t="s">
        <v>762</v>
      </c>
      <c r="D550" s="7">
        <v>29.9</v>
      </c>
      <c r="E550" s="2">
        <v>153</v>
      </c>
      <c r="F550" s="2">
        <v>70</v>
      </c>
    </row>
    <row r="551" spans="1:6" x14ac:dyDescent="0.3">
      <c r="A551" s="2" t="s">
        <v>1327</v>
      </c>
      <c r="B551" s="2" t="s">
        <v>572</v>
      </c>
      <c r="C551" s="2" t="s">
        <v>748</v>
      </c>
      <c r="D551" s="7">
        <v>20.6</v>
      </c>
      <c r="E551" s="2">
        <v>89</v>
      </c>
      <c r="F551" s="2">
        <v>141</v>
      </c>
    </row>
    <row r="552" spans="1:6" x14ac:dyDescent="0.3">
      <c r="A552" s="2" t="s">
        <v>1328</v>
      </c>
      <c r="B552" s="2" t="s">
        <v>572</v>
      </c>
      <c r="C552" s="2" t="s">
        <v>744</v>
      </c>
      <c r="D552" s="7">
        <v>26.2</v>
      </c>
      <c r="E552" s="2">
        <v>90</v>
      </c>
      <c r="F552" s="2">
        <v>170</v>
      </c>
    </row>
    <row r="553" spans="1:6" x14ac:dyDescent="0.3">
      <c r="A553" s="2" t="s">
        <v>1329</v>
      </c>
      <c r="B553" s="2" t="s">
        <v>574</v>
      </c>
      <c r="C553" s="2" t="s">
        <v>738</v>
      </c>
      <c r="D553" s="7">
        <v>21.4</v>
      </c>
      <c r="E553" s="2">
        <v>163</v>
      </c>
      <c r="F553" s="2">
        <v>55</v>
      </c>
    </row>
    <row r="554" spans="1:6" x14ac:dyDescent="0.3">
      <c r="A554" s="2" t="s">
        <v>1330</v>
      </c>
      <c r="B554" s="2" t="s">
        <v>574</v>
      </c>
      <c r="C554" s="2" t="s">
        <v>703</v>
      </c>
      <c r="D554" s="7">
        <v>41.8</v>
      </c>
      <c r="E554" s="2">
        <v>167</v>
      </c>
      <c r="F554" s="2">
        <v>152</v>
      </c>
    </row>
    <row r="555" spans="1:6" x14ac:dyDescent="0.3">
      <c r="A555" s="2" t="s">
        <v>1331</v>
      </c>
      <c r="B555" s="2" t="s">
        <v>574</v>
      </c>
      <c r="C555" s="2" t="s">
        <v>732</v>
      </c>
      <c r="D555" s="7">
        <v>36.799999999999997</v>
      </c>
      <c r="E555" s="2">
        <v>109</v>
      </c>
      <c r="F555" s="2">
        <v>167</v>
      </c>
    </row>
    <row r="556" spans="1:6" x14ac:dyDescent="0.3">
      <c r="A556" s="2" t="s">
        <v>1332</v>
      </c>
      <c r="B556" s="2" t="s">
        <v>576</v>
      </c>
      <c r="C556" s="2" t="s">
        <v>699</v>
      </c>
      <c r="D556" s="7">
        <v>27</v>
      </c>
      <c r="E556" s="2">
        <v>100</v>
      </c>
      <c r="F556" s="2">
        <v>165</v>
      </c>
    </row>
    <row r="557" spans="1:6" x14ac:dyDescent="0.3">
      <c r="A557" s="2" t="s">
        <v>1333</v>
      </c>
      <c r="B557" s="2" t="s">
        <v>576</v>
      </c>
      <c r="C557" s="2" t="s">
        <v>707</v>
      </c>
      <c r="D557" s="7">
        <v>29.8</v>
      </c>
      <c r="E557" s="2">
        <v>72</v>
      </c>
      <c r="F557" s="2">
        <v>149</v>
      </c>
    </row>
    <row r="558" spans="1:6" x14ac:dyDescent="0.3">
      <c r="A558" s="2" t="s">
        <v>1334</v>
      </c>
      <c r="B558" s="2" t="s">
        <v>576</v>
      </c>
      <c r="C558" s="2" t="s">
        <v>738</v>
      </c>
      <c r="D558" s="7">
        <v>19.5</v>
      </c>
      <c r="E558" s="2">
        <v>153</v>
      </c>
      <c r="F558" s="2">
        <v>174</v>
      </c>
    </row>
    <row r="559" spans="1:6" x14ac:dyDescent="0.3">
      <c r="A559" s="2" t="s">
        <v>1335</v>
      </c>
      <c r="B559" s="2" t="s">
        <v>576</v>
      </c>
      <c r="C559" s="2" t="s">
        <v>681</v>
      </c>
      <c r="D559" s="7">
        <v>23.7</v>
      </c>
      <c r="E559" s="2">
        <v>84</v>
      </c>
      <c r="F559" s="2">
        <v>177</v>
      </c>
    </row>
    <row r="560" spans="1:6" x14ac:dyDescent="0.3">
      <c r="A560" s="2" t="s">
        <v>1336</v>
      </c>
      <c r="B560" s="2" t="s">
        <v>578</v>
      </c>
      <c r="C560" s="2" t="s">
        <v>752</v>
      </c>
      <c r="D560" s="7">
        <v>59.6</v>
      </c>
      <c r="E560" s="2">
        <v>137</v>
      </c>
      <c r="F560" s="2">
        <v>162</v>
      </c>
    </row>
    <row r="561" spans="1:6" x14ac:dyDescent="0.3">
      <c r="A561" s="2" t="s">
        <v>1337</v>
      </c>
      <c r="B561" s="2" t="s">
        <v>578</v>
      </c>
      <c r="C561" s="2" t="s">
        <v>677</v>
      </c>
      <c r="D561" s="7">
        <v>40.4</v>
      </c>
      <c r="E561" s="2">
        <v>168</v>
      </c>
      <c r="F561" s="2">
        <v>155</v>
      </c>
    </row>
    <row r="562" spans="1:6" x14ac:dyDescent="0.3">
      <c r="A562" s="2" t="s">
        <v>1338</v>
      </c>
      <c r="B562" s="2" t="s">
        <v>580</v>
      </c>
      <c r="C562" s="2" t="s">
        <v>685</v>
      </c>
      <c r="D562" s="7">
        <v>29.1</v>
      </c>
      <c r="E562" s="2">
        <v>103</v>
      </c>
      <c r="F562" s="2">
        <v>138</v>
      </c>
    </row>
    <row r="563" spans="1:6" x14ac:dyDescent="0.3">
      <c r="A563" s="2" t="s">
        <v>1339</v>
      </c>
      <c r="B563" s="2" t="s">
        <v>580</v>
      </c>
      <c r="C563" s="2" t="s">
        <v>746</v>
      </c>
      <c r="D563" s="7">
        <v>24.9</v>
      </c>
      <c r="E563" s="2">
        <v>154</v>
      </c>
      <c r="F563" s="2">
        <v>108</v>
      </c>
    </row>
    <row r="564" spans="1:6" x14ac:dyDescent="0.3">
      <c r="A564" s="2" t="s">
        <v>1340</v>
      </c>
      <c r="B564" s="2" t="s">
        <v>580</v>
      </c>
      <c r="C564" s="2" t="s">
        <v>691</v>
      </c>
      <c r="D564" s="7">
        <v>14.8</v>
      </c>
      <c r="E564" s="2">
        <v>96</v>
      </c>
      <c r="F564" s="2">
        <v>74</v>
      </c>
    </row>
    <row r="565" spans="1:6" x14ac:dyDescent="0.3">
      <c r="A565" s="2" t="s">
        <v>1341</v>
      </c>
      <c r="B565" s="2" t="s">
        <v>580</v>
      </c>
      <c r="C565" s="2" t="s">
        <v>718</v>
      </c>
      <c r="D565" s="7">
        <v>15</v>
      </c>
      <c r="E565" s="2">
        <v>75</v>
      </c>
      <c r="F565" s="2">
        <v>136</v>
      </c>
    </row>
    <row r="566" spans="1:6" x14ac:dyDescent="0.3">
      <c r="A566" s="2" t="s">
        <v>1342</v>
      </c>
      <c r="B566" s="2" t="s">
        <v>580</v>
      </c>
      <c r="C566" s="2" t="s">
        <v>726</v>
      </c>
      <c r="D566" s="7">
        <v>16.2</v>
      </c>
      <c r="E566" s="2">
        <v>73</v>
      </c>
      <c r="F566" s="2">
        <v>72</v>
      </c>
    </row>
    <row r="567" spans="1:6" x14ac:dyDescent="0.3">
      <c r="A567" s="2" t="s">
        <v>1343</v>
      </c>
      <c r="B567" s="2" t="s">
        <v>582</v>
      </c>
      <c r="C567" s="2" t="s">
        <v>699</v>
      </c>
      <c r="D567" s="7">
        <v>40.200000000000003</v>
      </c>
      <c r="E567" s="2">
        <v>148</v>
      </c>
      <c r="F567" s="2">
        <v>174</v>
      </c>
    </row>
    <row r="568" spans="1:6" x14ac:dyDescent="0.3">
      <c r="A568" s="2" t="s">
        <v>1344</v>
      </c>
      <c r="B568" s="2" t="s">
        <v>582</v>
      </c>
      <c r="C568" s="2" t="s">
        <v>736</v>
      </c>
      <c r="D568" s="7">
        <v>34.1</v>
      </c>
      <c r="E568" s="2">
        <v>172</v>
      </c>
      <c r="F568" s="2">
        <v>156</v>
      </c>
    </row>
    <row r="569" spans="1:6" x14ac:dyDescent="0.3">
      <c r="A569" s="2" t="s">
        <v>1345</v>
      </c>
      <c r="B569" s="2" t="s">
        <v>582</v>
      </c>
      <c r="C569" s="2" t="s">
        <v>742</v>
      </c>
      <c r="D569" s="7">
        <v>25.6</v>
      </c>
      <c r="E569" s="2">
        <v>146</v>
      </c>
      <c r="F569" s="2">
        <v>117</v>
      </c>
    </row>
    <row r="570" spans="1:6" x14ac:dyDescent="0.3">
      <c r="A570" s="2" t="s">
        <v>1346</v>
      </c>
      <c r="B570" s="2" t="s">
        <v>584</v>
      </c>
      <c r="C570" s="2" t="s">
        <v>768</v>
      </c>
      <c r="D570" s="7">
        <v>31.2</v>
      </c>
      <c r="E570" s="2">
        <v>171</v>
      </c>
      <c r="F570" s="2">
        <v>69</v>
      </c>
    </row>
    <row r="571" spans="1:6" x14ac:dyDescent="0.3">
      <c r="A571" s="2" t="s">
        <v>1347</v>
      </c>
      <c r="B571" s="2" t="s">
        <v>584</v>
      </c>
      <c r="C571" s="2" t="s">
        <v>728</v>
      </c>
      <c r="D571" s="7">
        <v>43.3</v>
      </c>
      <c r="E571" s="2">
        <v>132</v>
      </c>
      <c r="F571" s="2">
        <v>108</v>
      </c>
    </row>
    <row r="572" spans="1:6" x14ac:dyDescent="0.3">
      <c r="A572" s="2" t="s">
        <v>1348</v>
      </c>
      <c r="B572" s="2" t="s">
        <v>584</v>
      </c>
      <c r="C572" s="2" t="s">
        <v>693</v>
      </c>
      <c r="D572" s="7">
        <v>25.5</v>
      </c>
      <c r="E572" s="2">
        <v>128</v>
      </c>
      <c r="F572" s="2">
        <v>151</v>
      </c>
    </row>
    <row r="573" spans="1:6" x14ac:dyDescent="0.3">
      <c r="A573" s="2" t="s">
        <v>1349</v>
      </c>
      <c r="B573" s="2" t="s">
        <v>586</v>
      </c>
      <c r="C573" s="2" t="s">
        <v>697</v>
      </c>
      <c r="D573" s="7">
        <v>17</v>
      </c>
      <c r="E573" s="2">
        <v>103</v>
      </c>
      <c r="F573" s="2">
        <v>58</v>
      </c>
    </row>
    <row r="574" spans="1:6" x14ac:dyDescent="0.3">
      <c r="A574" s="2" t="s">
        <v>1350</v>
      </c>
      <c r="B574" s="2" t="s">
        <v>586</v>
      </c>
      <c r="C574" s="2" t="s">
        <v>685</v>
      </c>
      <c r="D574" s="7">
        <v>17.2</v>
      </c>
      <c r="E574" s="2">
        <v>126</v>
      </c>
      <c r="F574" s="2">
        <v>103</v>
      </c>
    </row>
    <row r="575" spans="1:6" x14ac:dyDescent="0.3">
      <c r="A575" s="2" t="s">
        <v>1351</v>
      </c>
      <c r="B575" s="2" t="s">
        <v>586</v>
      </c>
      <c r="C575" s="2" t="s">
        <v>772</v>
      </c>
      <c r="D575" s="7">
        <v>16.399999999999999</v>
      </c>
      <c r="E575" s="2">
        <v>85</v>
      </c>
      <c r="F575" s="2">
        <v>143</v>
      </c>
    </row>
    <row r="576" spans="1:6" x14ac:dyDescent="0.3">
      <c r="A576" s="2" t="s">
        <v>1352</v>
      </c>
      <c r="B576" s="2" t="s">
        <v>586</v>
      </c>
      <c r="C576" s="2" t="s">
        <v>718</v>
      </c>
      <c r="D576" s="7">
        <v>26.6</v>
      </c>
      <c r="E576" s="2">
        <v>151</v>
      </c>
      <c r="F576" s="2">
        <v>149</v>
      </c>
    </row>
    <row r="577" spans="1:6" x14ac:dyDescent="0.3">
      <c r="A577" s="2" t="s">
        <v>1353</v>
      </c>
      <c r="B577" s="2" t="s">
        <v>586</v>
      </c>
      <c r="C577" s="2" t="s">
        <v>709</v>
      </c>
      <c r="D577" s="7">
        <v>22.8</v>
      </c>
      <c r="E577" s="2">
        <v>85</v>
      </c>
      <c r="F577" s="2">
        <v>83</v>
      </c>
    </row>
    <row r="578" spans="1:6" x14ac:dyDescent="0.3">
      <c r="A578" s="2" t="s">
        <v>1354</v>
      </c>
      <c r="B578" s="2" t="s">
        <v>588</v>
      </c>
      <c r="C578" s="2" t="s">
        <v>720</v>
      </c>
      <c r="D578" s="7">
        <v>20.2</v>
      </c>
      <c r="E578" s="2">
        <v>180</v>
      </c>
      <c r="F578" s="2">
        <v>167</v>
      </c>
    </row>
    <row r="579" spans="1:6" x14ac:dyDescent="0.3">
      <c r="A579" s="2" t="s">
        <v>1355</v>
      </c>
      <c r="B579" s="2" t="s">
        <v>588</v>
      </c>
      <c r="C579" s="2" t="s">
        <v>701</v>
      </c>
      <c r="D579" s="7">
        <v>24.1</v>
      </c>
      <c r="E579" s="2">
        <v>64</v>
      </c>
      <c r="F579" s="2">
        <v>145</v>
      </c>
    </row>
    <row r="580" spans="1:6" x14ac:dyDescent="0.3">
      <c r="A580" s="2" t="s">
        <v>1356</v>
      </c>
      <c r="B580" s="2" t="s">
        <v>588</v>
      </c>
      <c r="C580" s="2" t="s">
        <v>722</v>
      </c>
      <c r="D580" s="7">
        <v>20.6</v>
      </c>
      <c r="E580" s="2">
        <v>174</v>
      </c>
      <c r="F580" s="2">
        <v>70</v>
      </c>
    </row>
    <row r="581" spans="1:6" x14ac:dyDescent="0.3">
      <c r="A581" s="2" t="s">
        <v>1357</v>
      </c>
      <c r="B581" s="2" t="s">
        <v>588</v>
      </c>
      <c r="C581" s="2" t="s">
        <v>770</v>
      </c>
      <c r="D581" s="7">
        <v>22.7</v>
      </c>
      <c r="E581" s="2">
        <v>83</v>
      </c>
      <c r="F581" s="2">
        <v>177</v>
      </c>
    </row>
    <row r="582" spans="1:6" x14ac:dyDescent="0.3">
      <c r="A582" s="2" t="s">
        <v>1358</v>
      </c>
      <c r="B582" s="2" t="s">
        <v>588</v>
      </c>
      <c r="C582" s="2" t="s">
        <v>724</v>
      </c>
      <c r="D582" s="7">
        <v>12.4</v>
      </c>
      <c r="E582" s="2">
        <v>77</v>
      </c>
      <c r="F582" s="2">
        <v>70</v>
      </c>
    </row>
    <row r="583" spans="1:6" x14ac:dyDescent="0.3">
      <c r="A583" s="2" t="s">
        <v>1359</v>
      </c>
      <c r="B583" s="2" t="s">
        <v>590</v>
      </c>
      <c r="C583" s="2" t="s">
        <v>742</v>
      </c>
      <c r="D583" s="7">
        <v>33.4</v>
      </c>
      <c r="E583" s="2">
        <v>124</v>
      </c>
      <c r="F583" s="2">
        <v>60</v>
      </c>
    </row>
    <row r="584" spans="1:6" x14ac:dyDescent="0.3">
      <c r="A584" s="2" t="s">
        <v>1360</v>
      </c>
      <c r="B584" s="2" t="s">
        <v>590</v>
      </c>
      <c r="C584" s="2" t="s">
        <v>740</v>
      </c>
      <c r="D584" s="7">
        <v>35.5</v>
      </c>
      <c r="E584" s="2">
        <v>69</v>
      </c>
      <c r="F584" s="2">
        <v>161</v>
      </c>
    </row>
    <row r="585" spans="1:6" x14ac:dyDescent="0.3">
      <c r="A585" s="2" t="s">
        <v>1361</v>
      </c>
      <c r="B585" s="2" t="s">
        <v>590</v>
      </c>
      <c r="C585" s="2" t="s">
        <v>701</v>
      </c>
      <c r="D585" s="7">
        <v>31.1</v>
      </c>
      <c r="E585" s="2">
        <v>118</v>
      </c>
      <c r="F585" s="2">
        <v>139</v>
      </c>
    </row>
    <row r="586" spans="1:6" x14ac:dyDescent="0.3">
      <c r="A586" s="2" t="s">
        <v>1362</v>
      </c>
      <c r="B586" s="2" t="s">
        <v>592</v>
      </c>
      <c r="C586" s="2" t="s">
        <v>714</v>
      </c>
      <c r="D586" s="7">
        <v>17.7</v>
      </c>
      <c r="E586" s="2">
        <v>132</v>
      </c>
      <c r="F586" s="2">
        <v>68</v>
      </c>
    </row>
    <row r="587" spans="1:6" x14ac:dyDescent="0.3">
      <c r="A587" s="2" t="s">
        <v>1363</v>
      </c>
      <c r="B587" s="2" t="s">
        <v>592</v>
      </c>
      <c r="C587" s="2" t="s">
        <v>762</v>
      </c>
      <c r="D587" s="7">
        <v>29.9</v>
      </c>
      <c r="E587" s="2">
        <v>137</v>
      </c>
      <c r="F587" s="2">
        <v>89</v>
      </c>
    </row>
    <row r="588" spans="1:6" x14ac:dyDescent="0.3">
      <c r="A588" s="2" t="s">
        <v>1364</v>
      </c>
      <c r="B588" s="2" t="s">
        <v>592</v>
      </c>
      <c r="C588" s="2" t="s">
        <v>707</v>
      </c>
      <c r="D588" s="7">
        <v>26.6</v>
      </c>
      <c r="E588" s="2">
        <v>76</v>
      </c>
      <c r="F588" s="2">
        <v>148</v>
      </c>
    </row>
    <row r="589" spans="1:6" x14ac:dyDescent="0.3">
      <c r="A589" s="2" t="s">
        <v>1365</v>
      </c>
      <c r="B589" s="2" t="s">
        <v>592</v>
      </c>
      <c r="C589" s="2" t="s">
        <v>772</v>
      </c>
      <c r="D589" s="7">
        <v>25.8</v>
      </c>
      <c r="E589" s="2">
        <v>152</v>
      </c>
      <c r="F589" s="2">
        <v>91</v>
      </c>
    </row>
    <row r="590" spans="1:6" x14ac:dyDescent="0.3">
      <c r="A590" s="2" t="s">
        <v>1366</v>
      </c>
      <c r="B590" s="2" t="s">
        <v>594</v>
      </c>
      <c r="C590" s="2" t="s">
        <v>709</v>
      </c>
      <c r="D590" s="7">
        <v>30.8</v>
      </c>
      <c r="E590" s="2">
        <v>73</v>
      </c>
      <c r="F590" s="2">
        <v>161</v>
      </c>
    </row>
    <row r="591" spans="1:6" x14ac:dyDescent="0.3">
      <c r="A591" s="2" t="s">
        <v>1367</v>
      </c>
      <c r="B591" s="2" t="s">
        <v>594</v>
      </c>
      <c r="C591" s="2" t="s">
        <v>728</v>
      </c>
      <c r="D591" s="7">
        <v>17.100000000000001</v>
      </c>
      <c r="E591" s="2">
        <v>137</v>
      </c>
      <c r="F591" s="2">
        <v>180</v>
      </c>
    </row>
    <row r="592" spans="1:6" x14ac:dyDescent="0.3">
      <c r="A592" s="2" t="s">
        <v>1368</v>
      </c>
      <c r="B592" s="2" t="s">
        <v>594</v>
      </c>
      <c r="C592" s="2" t="s">
        <v>764</v>
      </c>
      <c r="D592" s="7">
        <v>30.1</v>
      </c>
      <c r="E592" s="2">
        <v>172</v>
      </c>
      <c r="F592" s="2">
        <v>159</v>
      </c>
    </row>
    <row r="593" spans="1:6" x14ac:dyDescent="0.3">
      <c r="A593" s="2" t="s">
        <v>1369</v>
      </c>
      <c r="B593" s="2" t="s">
        <v>594</v>
      </c>
      <c r="C593" s="2" t="s">
        <v>724</v>
      </c>
      <c r="D593" s="7">
        <v>22</v>
      </c>
      <c r="E593" s="2">
        <v>173</v>
      </c>
      <c r="F593" s="2">
        <v>116</v>
      </c>
    </row>
    <row r="594" spans="1:6" x14ac:dyDescent="0.3">
      <c r="A594" s="2" t="s">
        <v>1370</v>
      </c>
      <c r="B594" s="2" t="s">
        <v>596</v>
      </c>
      <c r="C594" s="2" t="s">
        <v>732</v>
      </c>
      <c r="D594" s="7">
        <v>21.7</v>
      </c>
      <c r="E594" s="2">
        <v>80</v>
      </c>
      <c r="F594" s="2">
        <v>163</v>
      </c>
    </row>
    <row r="595" spans="1:6" x14ac:dyDescent="0.3">
      <c r="A595" s="2" t="s">
        <v>1371</v>
      </c>
      <c r="B595" s="2" t="s">
        <v>596</v>
      </c>
      <c r="C595" s="2" t="s">
        <v>766</v>
      </c>
      <c r="D595" s="7">
        <v>26.3</v>
      </c>
      <c r="E595" s="2">
        <v>72</v>
      </c>
      <c r="F595" s="2">
        <v>135</v>
      </c>
    </row>
    <row r="596" spans="1:6" x14ac:dyDescent="0.3">
      <c r="A596" s="2" t="s">
        <v>1372</v>
      </c>
      <c r="B596" s="2" t="s">
        <v>596</v>
      </c>
      <c r="C596" s="2" t="s">
        <v>714</v>
      </c>
      <c r="D596" s="7">
        <v>23.3</v>
      </c>
      <c r="E596" s="2">
        <v>94</v>
      </c>
      <c r="F596" s="2">
        <v>96</v>
      </c>
    </row>
    <row r="597" spans="1:6" x14ac:dyDescent="0.3">
      <c r="A597" s="2" t="s">
        <v>1373</v>
      </c>
      <c r="B597" s="2" t="s">
        <v>596</v>
      </c>
      <c r="C597" s="2" t="s">
        <v>695</v>
      </c>
      <c r="D597" s="7">
        <v>28.7</v>
      </c>
      <c r="E597" s="2">
        <v>145</v>
      </c>
      <c r="F597" s="2">
        <v>174</v>
      </c>
    </row>
    <row r="598" spans="1:6" x14ac:dyDescent="0.3">
      <c r="A598" s="2" t="s">
        <v>1374</v>
      </c>
      <c r="B598" s="2" t="s">
        <v>598</v>
      </c>
      <c r="C598" s="2" t="s">
        <v>754</v>
      </c>
      <c r="D598" s="7">
        <v>38.5</v>
      </c>
      <c r="E598" s="2">
        <v>129</v>
      </c>
      <c r="F598" s="2">
        <v>129</v>
      </c>
    </row>
    <row r="599" spans="1:6" x14ac:dyDescent="0.3">
      <c r="A599" s="2" t="s">
        <v>1375</v>
      </c>
      <c r="B599" s="2" t="s">
        <v>598</v>
      </c>
      <c r="C599" s="2" t="s">
        <v>707</v>
      </c>
      <c r="D599" s="7">
        <v>27.3</v>
      </c>
      <c r="E599" s="2">
        <v>152</v>
      </c>
      <c r="F599" s="2">
        <v>87</v>
      </c>
    </row>
    <row r="600" spans="1:6" x14ac:dyDescent="0.3">
      <c r="A600" s="2" t="s">
        <v>1376</v>
      </c>
      <c r="B600" s="2" t="s">
        <v>598</v>
      </c>
      <c r="C600" s="2" t="s">
        <v>677</v>
      </c>
      <c r="D600" s="7">
        <v>34.200000000000003</v>
      </c>
      <c r="E600" s="2">
        <v>160</v>
      </c>
      <c r="F600" s="2">
        <v>111</v>
      </c>
    </row>
    <row r="601" spans="1:6" x14ac:dyDescent="0.3">
      <c r="A601" s="2" t="s">
        <v>1377</v>
      </c>
      <c r="B601" s="2" t="s">
        <v>600</v>
      </c>
      <c r="C601" s="2" t="s">
        <v>744</v>
      </c>
      <c r="D601" s="7">
        <v>48.5</v>
      </c>
      <c r="E601" s="2">
        <v>140</v>
      </c>
      <c r="F601" s="2">
        <v>57</v>
      </c>
    </row>
    <row r="602" spans="1:6" x14ac:dyDescent="0.3">
      <c r="A602" s="2" t="s">
        <v>1378</v>
      </c>
      <c r="B602" s="2" t="s">
        <v>600</v>
      </c>
      <c r="C602" s="2" t="s">
        <v>758</v>
      </c>
      <c r="D602" s="7">
        <v>51.5</v>
      </c>
      <c r="E602" s="2">
        <v>118</v>
      </c>
      <c r="F602" s="2">
        <v>76</v>
      </c>
    </row>
    <row r="603" spans="1:6" x14ac:dyDescent="0.3">
      <c r="A603" s="2" t="s">
        <v>1379</v>
      </c>
      <c r="B603" s="2" t="s">
        <v>602</v>
      </c>
      <c r="C603" s="2" t="s">
        <v>701</v>
      </c>
      <c r="D603" s="7">
        <v>37.700000000000003</v>
      </c>
      <c r="E603" s="2">
        <v>171</v>
      </c>
      <c r="F603" s="2">
        <v>153</v>
      </c>
    </row>
    <row r="604" spans="1:6" x14ac:dyDescent="0.3">
      <c r="A604" s="2" t="s">
        <v>1380</v>
      </c>
      <c r="B604" s="2" t="s">
        <v>602</v>
      </c>
      <c r="C604" s="2" t="s">
        <v>720</v>
      </c>
      <c r="D604" s="7">
        <v>25.3</v>
      </c>
      <c r="E604" s="2">
        <v>114</v>
      </c>
      <c r="F604" s="2">
        <v>50</v>
      </c>
    </row>
    <row r="605" spans="1:6" x14ac:dyDescent="0.3">
      <c r="A605" s="2" t="s">
        <v>1381</v>
      </c>
      <c r="B605" s="2" t="s">
        <v>602</v>
      </c>
      <c r="C605" s="2" t="s">
        <v>734</v>
      </c>
      <c r="D605" s="7">
        <v>37</v>
      </c>
      <c r="E605" s="2">
        <v>149</v>
      </c>
      <c r="F605" s="2">
        <v>102</v>
      </c>
    </row>
    <row r="606" spans="1:6" x14ac:dyDescent="0.3">
      <c r="A606" s="2" t="s">
        <v>1382</v>
      </c>
      <c r="B606" s="2" t="s">
        <v>604</v>
      </c>
      <c r="C606" s="2" t="s">
        <v>693</v>
      </c>
      <c r="D606" s="7">
        <v>30</v>
      </c>
      <c r="E606" s="2">
        <v>144</v>
      </c>
      <c r="F606" s="2">
        <v>150</v>
      </c>
    </row>
    <row r="607" spans="1:6" x14ac:dyDescent="0.3">
      <c r="A607" s="2" t="s">
        <v>1383</v>
      </c>
      <c r="B607" s="2" t="s">
        <v>604</v>
      </c>
      <c r="C607" s="2" t="s">
        <v>691</v>
      </c>
      <c r="D607" s="7">
        <v>27.2</v>
      </c>
      <c r="E607" s="2">
        <v>154</v>
      </c>
      <c r="F607" s="2">
        <v>136</v>
      </c>
    </row>
    <row r="608" spans="1:6" x14ac:dyDescent="0.3">
      <c r="A608" s="2" t="s">
        <v>1384</v>
      </c>
      <c r="B608" s="2" t="s">
        <v>604</v>
      </c>
      <c r="C608" s="2" t="s">
        <v>718</v>
      </c>
      <c r="D608" s="7">
        <v>14.9</v>
      </c>
      <c r="E608" s="2">
        <v>116</v>
      </c>
      <c r="F608" s="2">
        <v>140</v>
      </c>
    </row>
    <row r="609" spans="1:6" x14ac:dyDescent="0.3">
      <c r="A609" s="2" t="s">
        <v>1385</v>
      </c>
      <c r="B609" s="2" t="s">
        <v>604</v>
      </c>
      <c r="C609" s="2" t="s">
        <v>758</v>
      </c>
      <c r="D609" s="7">
        <v>28</v>
      </c>
      <c r="E609" s="2">
        <v>179</v>
      </c>
      <c r="F609" s="2">
        <v>152</v>
      </c>
    </row>
    <row r="610" spans="1:6" x14ac:dyDescent="0.3">
      <c r="A610" s="2" t="s">
        <v>1386</v>
      </c>
      <c r="B610" s="2" t="s">
        <v>606</v>
      </c>
      <c r="C610" s="2" t="s">
        <v>709</v>
      </c>
      <c r="D610" s="7">
        <v>50.2</v>
      </c>
      <c r="E610" s="2">
        <v>144</v>
      </c>
      <c r="F610" s="2">
        <v>107</v>
      </c>
    </row>
    <row r="611" spans="1:6" x14ac:dyDescent="0.3">
      <c r="A611" s="2" t="s">
        <v>1387</v>
      </c>
      <c r="B611" s="2" t="s">
        <v>606</v>
      </c>
      <c r="C611" s="2" t="s">
        <v>756</v>
      </c>
      <c r="D611" s="7">
        <v>49.8</v>
      </c>
      <c r="E611" s="2">
        <v>79</v>
      </c>
      <c r="F611" s="2">
        <v>106</v>
      </c>
    </row>
    <row r="612" spans="1:6" x14ac:dyDescent="0.3">
      <c r="A612" s="2" t="s">
        <v>1388</v>
      </c>
      <c r="B612" s="2" t="s">
        <v>608</v>
      </c>
      <c r="C612" s="2" t="s">
        <v>695</v>
      </c>
      <c r="D612" s="7">
        <v>18.399999999999999</v>
      </c>
      <c r="E612" s="2">
        <v>156</v>
      </c>
      <c r="F612" s="2">
        <v>156</v>
      </c>
    </row>
    <row r="613" spans="1:6" x14ac:dyDescent="0.3">
      <c r="A613" s="2" t="s">
        <v>1389</v>
      </c>
      <c r="B613" s="2" t="s">
        <v>608</v>
      </c>
      <c r="C613" s="2" t="s">
        <v>681</v>
      </c>
      <c r="D613" s="7">
        <v>29.8</v>
      </c>
      <c r="E613" s="2">
        <v>139</v>
      </c>
      <c r="F613" s="2">
        <v>56</v>
      </c>
    </row>
    <row r="614" spans="1:6" x14ac:dyDescent="0.3">
      <c r="A614" s="2" t="s">
        <v>1390</v>
      </c>
      <c r="B614" s="2" t="s">
        <v>608</v>
      </c>
      <c r="C614" s="2" t="s">
        <v>754</v>
      </c>
      <c r="D614" s="7">
        <v>24.3</v>
      </c>
      <c r="E614" s="2">
        <v>110</v>
      </c>
      <c r="F614" s="2">
        <v>114</v>
      </c>
    </row>
    <row r="615" spans="1:6" x14ac:dyDescent="0.3">
      <c r="A615" s="2" t="s">
        <v>1391</v>
      </c>
      <c r="B615" s="2" t="s">
        <v>608</v>
      </c>
      <c r="C615" s="2" t="s">
        <v>703</v>
      </c>
      <c r="D615" s="7">
        <v>27.5</v>
      </c>
      <c r="E615" s="2">
        <v>68</v>
      </c>
      <c r="F615" s="2">
        <v>131</v>
      </c>
    </row>
    <row r="616" spans="1:6" x14ac:dyDescent="0.3">
      <c r="A616" s="2" t="s">
        <v>1392</v>
      </c>
      <c r="B616" s="2" t="s">
        <v>610</v>
      </c>
      <c r="C616" s="2" t="s">
        <v>766</v>
      </c>
      <c r="D616" s="7">
        <v>43.3</v>
      </c>
      <c r="E616" s="2">
        <v>140</v>
      </c>
      <c r="F616" s="2">
        <v>133</v>
      </c>
    </row>
    <row r="617" spans="1:6" x14ac:dyDescent="0.3">
      <c r="A617" s="2" t="s">
        <v>1393</v>
      </c>
      <c r="B617" s="2" t="s">
        <v>610</v>
      </c>
      <c r="C617" s="2" t="s">
        <v>764</v>
      </c>
      <c r="D617" s="7">
        <v>56.7</v>
      </c>
      <c r="E617" s="2">
        <v>69</v>
      </c>
      <c r="F617" s="2">
        <v>78</v>
      </c>
    </row>
    <row r="618" spans="1:6" x14ac:dyDescent="0.3">
      <c r="A618" s="2" t="s">
        <v>1394</v>
      </c>
      <c r="B618" s="2" t="s">
        <v>612</v>
      </c>
      <c r="C618" s="2" t="s">
        <v>701</v>
      </c>
      <c r="D618" s="7">
        <v>28.4</v>
      </c>
      <c r="E618" s="2">
        <v>89</v>
      </c>
      <c r="F618" s="2">
        <v>175</v>
      </c>
    </row>
    <row r="619" spans="1:6" x14ac:dyDescent="0.3">
      <c r="A619" s="2" t="s">
        <v>1395</v>
      </c>
      <c r="B619" s="2" t="s">
        <v>612</v>
      </c>
      <c r="C619" s="2" t="s">
        <v>732</v>
      </c>
      <c r="D619" s="7">
        <v>28.9</v>
      </c>
      <c r="E619" s="2">
        <v>125</v>
      </c>
      <c r="F619" s="2">
        <v>54</v>
      </c>
    </row>
    <row r="620" spans="1:6" x14ac:dyDescent="0.3">
      <c r="A620" s="2" t="s">
        <v>1396</v>
      </c>
      <c r="B620" s="2" t="s">
        <v>612</v>
      </c>
      <c r="C620" s="2" t="s">
        <v>712</v>
      </c>
      <c r="D620" s="7">
        <v>17.7</v>
      </c>
      <c r="E620" s="2">
        <v>152</v>
      </c>
      <c r="F620" s="2">
        <v>146</v>
      </c>
    </row>
    <row r="621" spans="1:6" x14ac:dyDescent="0.3">
      <c r="A621" s="2" t="s">
        <v>1397</v>
      </c>
      <c r="B621" s="2" t="s">
        <v>612</v>
      </c>
      <c r="C621" s="2" t="s">
        <v>724</v>
      </c>
      <c r="D621" s="7">
        <v>25</v>
      </c>
      <c r="E621" s="2">
        <v>101</v>
      </c>
      <c r="F621" s="2">
        <v>143</v>
      </c>
    </row>
    <row r="622" spans="1:6" x14ac:dyDescent="0.3">
      <c r="A622" s="2" t="s">
        <v>1398</v>
      </c>
      <c r="B622" s="2" t="s">
        <v>614</v>
      </c>
      <c r="C622" s="2" t="s">
        <v>764</v>
      </c>
      <c r="D622" s="7">
        <v>35.799999999999997</v>
      </c>
      <c r="E622" s="2">
        <v>81</v>
      </c>
      <c r="F622" s="2">
        <v>89</v>
      </c>
    </row>
    <row r="623" spans="1:6" x14ac:dyDescent="0.3">
      <c r="A623" s="2" t="s">
        <v>1399</v>
      </c>
      <c r="B623" s="2" t="s">
        <v>614</v>
      </c>
      <c r="C623" s="2" t="s">
        <v>695</v>
      </c>
      <c r="D623" s="7">
        <v>25.9</v>
      </c>
      <c r="E623" s="2">
        <v>168</v>
      </c>
      <c r="F623" s="2">
        <v>123</v>
      </c>
    </row>
    <row r="624" spans="1:6" x14ac:dyDescent="0.3">
      <c r="A624" s="2" t="s">
        <v>1400</v>
      </c>
      <c r="B624" s="2" t="s">
        <v>614</v>
      </c>
      <c r="C624" s="2" t="s">
        <v>746</v>
      </c>
      <c r="D624" s="7">
        <v>38.299999999999997</v>
      </c>
      <c r="E624" s="2">
        <v>125</v>
      </c>
      <c r="F624" s="2">
        <v>55</v>
      </c>
    </row>
    <row r="625" spans="1:6" x14ac:dyDescent="0.3">
      <c r="A625" s="2" t="s">
        <v>1401</v>
      </c>
      <c r="B625" s="2" t="s">
        <v>616</v>
      </c>
      <c r="C625" s="2" t="s">
        <v>740</v>
      </c>
      <c r="D625" s="7">
        <v>27.1</v>
      </c>
      <c r="E625" s="2">
        <v>107</v>
      </c>
      <c r="F625" s="2">
        <v>130</v>
      </c>
    </row>
    <row r="626" spans="1:6" x14ac:dyDescent="0.3">
      <c r="A626" s="2" t="s">
        <v>1402</v>
      </c>
      <c r="B626" s="2" t="s">
        <v>616</v>
      </c>
      <c r="C626" s="2" t="s">
        <v>726</v>
      </c>
      <c r="D626" s="7">
        <v>28</v>
      </c>
      <c r="E626" s="2">
        <v>127</v>
      </c>
      <c r="F626" s="2">
        <v>68</v>
      </c>
    </row>
    <row r="627" spans="1:6" x14ac:dyDescent="0.3">
      <c r="A627" s="2" t="s">
        <v>1403</v>
      </c>
      <c r="B627" s="2" t="s">
        <v>616</v>
      </c>
      <c r="C627" s="2" t="s">
        <v>766</v>
      </c>
      <c r="D627" s="7">
        <v>23.2</v>
      </c>
      <c r="E627" s="2">
        <v>123</v>
      </c>
      <c r="F627" s="2">
        <v>150</v>
      </c>
    </row>
    <row r="628" spans="1:6" x14ac:dyDescent="0.3">
      <c r="A628" s="2" t="s">
        <v>1404</v>
      </c>
      <c r="B628" s="2" t="s">
        <v>616</v>
      </c>
      <c r="C628" s="2" t="s">
        <v>770</v>
      </c>
      <c r="D628" s="7">
        <v>21.7</v>
      </c>
      <c r="E628" s="2">
        <v>125</v>
      </c>
      <c r="F628" s="2">
        <v>115</v>
      </c>
    </row>
    <row r="629" spans="1:6" x14ac:dyDescent="0.3">
      <c r="A629" s="2" t="s">
        <v>1405</v>
      </c>
      <c r="B629" s="2" t="s">
        <v>618</v>
      </c>
      <c r="C629" s="2" t="s">
        <v>688</v>
      </c>
      <c r="D629" s="7">
        <v>15.3</v>
      </c>
      <c r="E629" s="2">
        <v>103</v>
      </c>
      <c r="F629" s="2">
        <v>140</v>
      </c>
    </row>
    <row r="630" spans="1:6" x14ac:dyDescent="0.3">
      <c r="A630" s="2" t="s">
        <v>1406</v>
      </c>
      <c r="B630" s="2" t="s">
        <v>618</v>
      </c>
      <c r="C630" s="2" t="s">
        <v>699</v>
      </c>
      <c r="D630" s="7">
        <v>33.9</v>
      </c>
      <c r="E630" s="2">
        <v>92</v>
      </c>
      <c r="F630" s="2">
        <v>109</v>
      </c>
    </row>
    <row r="631" spans="1:6" x14ac:dyDescent="0.3">
      <c r="A631" s="2" t="s">
        <v>1407</v>
      </c>
      <c r="B631" s="2" t="s">
        <v>618</v>
      </c>
      <c r="C631" s="2" t="s">
        <v>740</v>
      </c>
      <c r="D631" s="7">
        <v>25</v>
      </c>
      <c r="E631" s="2">
        <v>145</v>
      </c>
      <c r="F631" s="2">
        <v>142</v>
      </c>
    </row>
    <row r="632" spans="1:6" x14ac:dyDescent="0.3">
      <c r="A632" s="2" t="s">
        <v>1408</v>
      </c>
      <c r="B632" s="2" t="s">
        <v>618</v>
      </c>
      <c r="C632" s="2" t="s">
        <v>762</v>
      </c>
      <c r="D632" s="7">
        <v>25.7</v>
      </c>
      <c r="E632" s="2">
        <v>142</v>
      </c>
      <c r="F632" s="2">
        <v>132</v>
      </c>
    </row>
    <row r="633" spans="1:6" x14ac:dyDescent="0.3">
      <c r="A633" s="2" t="s">
        <v>1409</v>
      </c>
      <c r="B633" s="2" t="s">
        <v>620</v>
      </c>
      <c r="C633" s="2" t="s">
        <v>772</v>
      </c>
      <c r="D633" s="7">
        <v>26.7</v>
      </c>
      <c r="E633" s="2">
        <v>86</v>
      </c>
      <c r="F633" s="2">
        <v>135</v>
      </c>
    </row>
    <row r="634" spans="1:6" x14ac:dyDescent="0.3">
      <c r="A634" s="2" t="s">
        <v>1410</v>
      </c>
      <c r="B634" s="2" t="s">
        <v>620</v>
      </c>
      <c r="C634" s="2" t="s">
        <v>762</v>
      </c>
      <c r="D634" s="7">
        <v>44.9</v>
      </c>
      <c r="E634" s="2">
        <v>139</v>
      </c>
      <c r="F634" s="2">
        <v>95</v>
      </c>
    </row>
    <row r="635" spans="1:6" x14ac:dyDescent="0.3">
      <c r="A635" s="2" t="s">
        <v>1411</v>
      </c>
      <c r="B635" s="2" t="s">
        <v>620</v>
      </c>
      <c r="C635" s="2" t="s">
        <v>766</v>
      </c>
      <c r="D635" s="7">
        <v>28.3</v>
      </c>
      <c r="E635" s="2">
        <v>135</v>
      </c>
      <c r="F635" s="2">
        <v>59</v>
      </c>
    </row>
    <row r="636" spans="1:6" x14ac:dyDescent="0.3">
      <c r="A636" s="2" t="s">
        <v>1412</v>
      </c>
      <c r="B636" s="2" t="s">
        <v>622</v>
      </c>
      <c r="C636" s="2" t="s">
        <v>728</v>
      </c>
      <c r="D636" s="7">
        <v>27</v>
      </c>
      <c r="E636" s="2">
        <v>103</v>
      </c>
      <c r="F636" s="2">
        <v>129</v>
      </c>
    </row>
    <row r="637" spans="1:6" x14ac:dyDescent="0.3">
      <c r="A637" s="2" t="s">
        <v>1413</v>
      </c>
      <c r="B637" s="2" t="s">
        <v>622</v>
      </c>
      <c r="C637" s="2" t="s">
        <v>736</v>
      </c>
      <c r="D637" s="7">
        <v>35.4</v>
      </c>
      <c r="E637" s="2">
        <v>122</v>
      </c>
      <c r="F637" s="2">
        <v>91</v>
      </c>
    </row>
    <row r="638" spans="1:6" x14ac:dyDescent="0.3">
      <c r="A638" s="2" t="s">
        <v>1414</v>
      </c>
      <c r="B638" s="2" t="s">
        <v>622</v>
      </c>
      <c r="C638" s="2" t="s">
        <v>768</v>
      </c>
      <c r="D638" s="7">
        <v>37.6</v>
      </c>
      <c r="E638" s="2">
        <v>123</v>
      </c>
      <c r="F638" s="2">
        <v>127</v>
      </c>
    </row>
    <row r="639" spans="1:6" x14ac:dyDescent="0.3">
      <c r="A639" s="2" t="s">
        <v>1415</v>
      </c>
      <c r="B639" s="2" t="s">
        <v>624</v>
      </c>
      <c r="C639" s="2" t="s">
        <v>772</v>
      </c>
      <c r="D639" s="7">
        <v>26.2</v>
      </c>
      <c r="E639" s="2">
        <v>141</v>
      </c>
      <c r="F639" s="2">
        <v>89</v>
      </c>
    </row>
    <row r="640" spans="1:6" x14ac:dyDescent="0.3">
      <c r="A640" s="2" t="s">
        <v>1416</v>
      </c>
      <c r="B640" s="2" t="s">
        <v>624</v>
      </c>
      <c r="C640" s="2" t="s">
        <v>709</v>
      </c>
      <c r="D640" s="7">
        <v>43.6</v>
      </c>
      <c r="E640" s="2">
        <v>73</v>
      </c>
      <c r="F640" s="2">
        <v>152</v>
      </c>
    </row>
    <row r="641" spans="1:6" x14ac:dyDescent="0.3">
      <c r="A641" s="2" t="s">
        <v>1417</v>
      </c>
      <c r="B641" s="2" t="s">
        <v>624</v>
      </c>
      <c r="C641" s="2" t="s">
        <v>726</v>
      </c>
      <c r="D641" s="7">
        <v>30.2</v>
      </c>
      <c r="E641" s="2">
        <v>176</v>
      </c>
      <c r="F641" s="2">
        <v>172</v>
      </c>
    </row>
    <row r="642" spans="1:6" x14ac:dyDescent="0.3">
      <c r="A642" s="2" t="s">
        <v>1418</v>
      </c>
      <c r="B642" s="2" t="s">
        <v>626</v>
      </c>
      <c r="C642" s="2" t="s">
        <v>734</v>
      </c>
      <c r="D642" s="7">
        <v>60.4</v>
      </c>
      <c r="E642" s="2">
        <v>165</v>
      </c>
      <c r="F642" s="2">
        <v>120</v>
      </c>
    </row>
    <row r="643" spans="1:6" x14ac:dyDescent="0.3">
      <c r="A643" s="2" t="s">
        <v>1419</v>
      </c>
      <c r="B643" s="2" t="s">
        <v>626</v>
      </c>
      <c r="C643" s="2" t="s">
        <v>740</v>
      </c>
      <c r="D643" s="7">
        <v>39.6</v>
      </c>
      <c r="E643" s="2">
        <v>135</v>
      </c>
      <c r="F643" s="2">
        <v>116</v>
      </c>
    </row>
    <row r="644" spans="1:6" x14ac:dyDescent="0.3">
      <c r="A644" s="2" t="s">
        <v>1420</v>
      </c>
      <c r="B644" s="2" t="s">
        <v>628</v>
      </c>
      <c r="C644" s="2" t="s">
        <v>722</v>
      </c>
      <c r="D644" s="7">
        <v>29.7</v>
      </c>
      <c r="E644" s="2">
        <v>105</v>
      </c>
      <c r="F644" s="2">
        <v>96</v>
      </c>
    </row>
    <row r="645" spans="1:6" x14ac:dyDescent="0.3">
      <c r="A645" s="2" t="s">
        <v>1421</v>
      </c>
      <c r="B645" s="2" t="s">
        <v>628</v>
      </c>
      <c r="C645" s="2" t="s">
        <v>716</v>
      </c>
      <c r="D645" s="7">
        <v>24.8</v>
      </c>
      <c r="E645" s="2">
        <v>138</v>
      </c>
      <c r="F645" s="2">
        <v>179</v>
      </c>
    </row>
    <row r="646" spans="1:6" x14ac:dyDescent="0.3">
      <c r="A646" s="2" t="s">
        <v>1422</v>
      </c>
      <c r="B646" s="2" t="s">
        <v>628</v>
      </c>
      <c r="C646" s="2" t="s">
        <v>752</v>
      </c>
      <c r="D646" s="7">
        <v>45.5</v>
      </c>
      <c r="E646" s="2">
        <v>131</v>
      </c>
      <c r="F646" s="2">
        <v>176</v>
      </c>
    </row>
    <row r="647" spans="1:6" x14ac:dyDescent="0.3">
      <c r="A647" s="2" t="s">
        <v>1423</v>
      </c>
      <c r="B647" s="2" t="s">
        <v>630</v>
      </c>
      <c r="C647" s="2" t="s">
        <v>705</v>
      </c>
      <c r="D647" s="7">
        <v>25.8</v>
      </c>
      <c r="E647" s="2">
        <v>75</v>
      </c>
      <c r="F647" s="2">
        <v>126</v>
      </c>
    </row>
    <row r="648" spans="1:6" x14ac:dyDescent="0.3">
      <c r="A648" s="2" t="s">
        <v>1424</v>
      </c>
      <c r="B648" s="2" t="s">
        <v>630</v>
      </c>
      <c r="C648" s="2" t="s">
        <v>736</v>
      </c>
      <c r="D648" s="7">
        <v>41.2</v>
      </c>
      <c r="E648" s="2">
        <v>117</v>
      </c>
      <c r="F648" s="2">
        <v>75</v>
      </c>
    </row>
    <row r="649" spans="1:6" x14ac:dyDescent="0.3">
      <c r="A649" s="2" t="s">
        <v>1425</v>
      </c>
      <c r="B649" s="2" t="s">
        <v>630</v>
      </c>
      <c r="C649" s="2" t="s">
        <v>714</v>
      </c>
      <c r="D649" s="7">
        <v>32.9</v>
      </c>
      <c r="E649" s="2">
        <v>87</v>
      </c>
      <c r="F649" s="2">
        <v>154</v>
      </c>
    </row>
    <row r="650" spans="1:6" x14ac:dyDescent="0.3">
      <c r="A650" s="2" t="s">
        <v>1426</v>
      </c>
      <c r="B650" s="2" t="s">
        <v>632</v>
      </c>
      <c r="C650" s="2" t="s">
        <v>740</v>
      </c>
      <c r="D650" s="7">
        <v>40.799999999999997</v>
      </c>
      <c r="E650" s="2">
        <v>146</v>
      </c>
      <c r="F650" s="2">
        <v>79</v>
      </c>
    </row>
    <row r="651" spans="1:6" x14ac:dyDescent="0.3">
      <c r="A651" s="2" t="s">
        <v>1427</v>
      </c>
      <c r="B651" s="2" t="s">
        <v>632</v>
      </c>
      <c r="C651" s="2" t="s">
        <v>730</v>
      </c>
      <c r="D651" s="7">
        <v>59.2</v>
      </c>
      <c r="E651" s="2">
        <v>148</v>
      </c>
      <c r="F651" s="2">
        <v>94</v>
      </c>
    </row>
    <row r="652" spans="1:6" x14ac:dyDescent="0.3">
      <c r="A652" s="2" t="s">
        <v>1428</v>
      </c>
      <c r="B652" s="2" t="s">
        <v>634</v>
      </c>
      <c r="C652" s="2" t="s">
        <v>677</v>
      </c>
      <c r="D652" s="7">
        <v>46.4</v>
      </c>
      <c r="E652" s="2">
        <v>61</v>
      </c>
      <c r="F652" s="2">
        <v>64</v>
      </c>
    </row>
    <row r="653" spans="1:6" x14ac:dyDescent="0.3">
      <c r="A653" s="2" t="s">
        <v>1429</v>
      </c>
      <c r="B653" s="2" t="s">
        <v>634</v>
      </c>
      <c r="C653" s="2" t="s">
        <v>752</v>
      </c>
      <c r="D653" s="7">
        <v>53.6</v>
      </c>
      <c r="E653" s="2">
        <v>162</v>
      </c>
      <c r="F653" s="2">
        <v>154</v>
      </c>
    </row>
    <row r="654" spans="1:6" x14ac:dyDescent="0.3">
      <c r="A654" s="2" t="s">
        <v>1430</v>
      </c>
      <c r="B654" s="2" t="s">
        <v>636</v>
      </c>
      <c r="C654" s="2" t="s">
        <v>760</v>
      </c>
      <c r="D654" s="7">
        <v>24.9</v>
      </c>
      <c r="E654" s="2">
        <v>142</v>
      </c>
      <c r="F654" s="2">
        <v>93</v>
      </c>
    </row>
    <row r="655" spans="1:6" x14ac:dyDescent="0.3">
      <c r="A655" s="2" t="s">
        <v>1431</v>
      </c>
      <c r="B655" s="2" t="s">
        <v>636</v>
      </c>
      <c r="C655" s="2" t="s">
        <v>677</v>
      </c>
      <c r="D655" s="7">
        <v>36.5</v>
      </c>
      <c r="E655" s="2">
        <v>127</v>
      </c>
      <c r="F655" s="2">
        <v>97</v>
      </c>
    </row>
    <row r="656" spans="1:6" x14ac:dyDescent="0.3">
      <c r="A656" s="2" t="s">
        <v>1432</v>
      </c>
      <c r="B656" s="2" t="s">
        <v>636</v>
      </c>
      <c r="C656" s="2" t="s">
        <v>746</v>
      </c>
      <c r="D656" s="7">
        <v>38.700000000000003</v>
      </c>
      <c r="E656" s="2">
        <v>116</v>
      </c>
      <c r="F656" s="2">
        <v>124</v>
      </c>
    </row>
    <row r="657" spans="1:6" x14ac:dyDescent="0.3">
      <c r="A657" s="2" t="s">
        <v>1433</v>
      </c>
      <c r="B657" s="2" t="s">
        <v>638</v>
      </c>
      <c r="C657" s="2" t="s">
        <v>732</v>
      </c>
      <c r="D657" s="7">
        <v>25.8</v>
      </c>
      <c r="E657" s="2">
        <v>180</v>
      </c>
      <c r="F657" s="2">
        <v>129</v>
      </c>
    </row>
    <row r="658" spans="1:6" x14ac:dyDescent="0.3">
      <c r="A658" s="2" t="s">
        <v>1434</v>
      </c>
      <c r="B658" s="2" t="s">
        <v>638</v>
      </c>
      <c r="C658" s="2" t="s">
        <v>709</v>
      </c>
      <c r="D658" s="7">
        <v>26.8</v>
      </c>
      <c r="E658" s="2">
        <v>136</v>
      </c>
      <c r="F658" s="2">
        <v>104</v>
      </c>
    </row>
    <row r="659" spans="1:6" x14ac:dyDescent="0.3">
      <c r="A659" s="2" t="s">
        <v>1435</v>
      </c>
      <c r="B659" s="2" t="s">
        <v>638</v>
      </c>
      <c r="C659" s="2" t="s">
        <v>746</v>
      </c>
      <c r="D659" s="7">
        <v>30.1</v>
      </c>
      <c r="E659" s="2">
        <v>160</v>
      </c>
      <c r="F659" s="2">
        <v>69</v>
      </c>
    </row>
    <row r="660" spans="1:6" x14ac:dyDescent="0.3">
      <c r="A660" s="2" t="s">
        <v>1436</v>
      </c>
      <c r="B660" s="2" t="s">
        <v>638</v>
      </c>
      <c r="C660" s="2" t="s">
        <v>752</v>
      </c>
      <c r="D660" s="7">
        <v>17.3</v>
      </c>
      <c r="E660" s="2">
        <v>83</v>
      </c>
      <c r="F660" s="2">
        <v>83</v>
      </c>
    </row>
    <row r="661" spans="1:6" x14ac:dyDescent="0.3">
      <c r="A661" s="2" t="s">
        <v>1437</v>
      </c>
      <c r="B661" s="2" t="s">
        <v>640</v>
      </c>
      <c r="C661" s="2" t="s">
        <v>730</v>
      </c>
      <c r="D661" s="7">
        <v>37</v>
      </c>
      <c r="E661" s="2">
        <v>98</v>
      </c>
      <c r="F661" s="2">
        <v>81</v>
      </c>
    </row>
    <row r="662" spans="1:6" x14ac:dyDescent="0.3">
      <c r="A662" s="2" t="s">
        <v>1438</v>
      </c>
      <c r="B662" s="2" t="s">
        <v>640</v>
      </c>
      <c r="C662" s="2" t="s">
        <v>760</v>
      </c>
      <c r="D662" s="7">
        <v>36.799999999999997</v>
      </c>
      <c r="E662" s="2">
        <v>167</v>
      </c>
      <c r="F662" s="2">
        <v>76</v>
      </c>
    </row>
    <row r="663" spans="1:6" x14ac:dyDescent="0.3">
      <c r="A663" s="2" t="s">
        <v>1439</v>
      </c>
      <c r="B663" s="2" t="s">
        <v>640</v>
      </c>
      <c r="C663" s="2" t="s">
        <v>764</v>
      </c>
      <c r="D663" s="7">
        <v>26.2</v>
      </c>
      <c r="E663" s="2">
        <v>169</v>
      </c>
      <c r="F663" s="2">
        <v>146</v>
      </c>
    </row>
    <row r="664" spans="1:6" x14ac:dyDescent="0.3">
      <c r="A664" s="2" t="s">
        <v>1440</v>
      </c>
      <c r="B664" s="2" t="s">
        <v>642</v>
      </c>
      <c r="C664" s="2" t="s">
        <v>691</v>
      </c>
      <c r="D664" s="7">
        <v>35.799999999999997</v>
      </c>
      <c r="E664" s="2">
        <v>89</v>
      </c>
      <c r="F664" s="2">
        <v>137</v>
      </c>
    </row>
    <row r="665" spans="1:6" x14ac:dyDescent="0.3">
      <c r="A665" s="2" t="s">
        <v>1441</v>
      </c>
      <c r="B665" s="2" t="s">
        <v>642</v>
      </c>
      <c r="C665" s="2" t="s">
        <v>748</v>
      </c>
      <c r="D665" s="7">
        <v>22.6</v>
      </c>
      <c r="E665" s="2">
        <v>143</v>
      </c>
      <c r="F665" s="2">
        <v>95</v>
      </c>
    </row>
    <row r="666" spans="1:6" x14ac:dyDescent="0.3">
      <c r="A666" s="2" t="s">
        <v>1442</v>
      </c>
      <c r="B666" s="2" t="s">
        <v>642</v>
      </c>
      <c r="C666" s="2" t="s">
        <v>732</v>
      </c>
      <c r="D666" s="7">
        <v>41.6</v>
      </c>
      <c r="E666" s="2">
        <v>115</v>
      </c>
      <c r="F666" s="2">
        <v>137</v>
      </c>
    </row>
    <row r="667" spans="1:6" x14ac:dyDescent="0.3">
      <c r="A667" s="2" t="s">
        <v>1443</v>
      </c>
      <c r="B667" s="2" t="s">
        <v>644</v>
      </c>
      <c r="C667" s="2" t="s">
        <v>703</v>
      </c>
      <c r="D667" s="7">
        <v>32.1</v>
      </c>
      <c r="E667" s="2">
        <v>136</v>
      </c>
      <c r="F667" s="2">
        <v>143</v>
      </c>
    </row>
    <row r="668" spans="1:6" x14ac:dyDescent="0.3">
      <c r="A668" s="2" t="s">
        <v>1444</v>
      </c>
      <c r="B668" s="2" t="s">
        <v>644</v>
      </c>
      <c r="C668" s="2" t="s">
        <v>768</v>
      </c>
      <c r="D668" s="7">
        <v>33.9</v>
      </c>
      <c r="E668" s="2">
        <v>138</v>
      </c>
      <c r="F668" s="2">
        <v>64</v>
      </c>
    </row>
    <row r="669" spans="1:6" x14ac:dyDescent="0.3">
      <c r="A669" s="2" t="s">
        <v>1445</v>
      </c>
      <c r="B669" s="2" t="s">
        <v>644</v>
      </c>
      <c r="C669" s="2" t="s">
        <v>701</v>
      </c>
      <c r="D669" s="7">
        <v>33.9</v>
      </c>
      <c r="E669" s="2">
        <v>109</v>
      </c>
      <c r="F669" s="2">
        <v>171</v>
      </c>
    </row>
    <row r="670" spans="1:6" x14ac:dyDescent="0.3">
      <c r="A670" s="2" t="s">
        <v>1446</v>
      </c>
      <c r="B670" s="2" t="s">
        <v>646</v>
      </c>
      <c r="C670" s="2" t="s">
        <v>768</v>
      </c>
      <c r="D670" s="7">
        <v>29</v>
      </c>
      <c r="E670" s="2">
        <v>66</v>
      </c>
      <c r="F670" s="2">
        <v>115</v>
      </c>
    </row>
    <row r="671" spans="1:6" x14ac:dyDescent="0.3">
      <c r="A671" s="2" t="s">
        <v>1447</v>
      </c>
      <c r="B671" s="2" t="s">
        <v>646</v>
      </c>
      <c r="C671" s="2" t="s">
        <v>740</v>
      </c>
      <c r="D671" s="7">
        <v>31.7</v>
      </c>
      <c r="E671" s="2">
        <v>153</v>
      </c>
      <c r="F671" s="2">
        <v>126</v>
      </c>
    </row>
    <row r="672" spans="1:6" x14ac:dyDescent="0.3">
      <c r="A672" s="2" t="s">
        <v>1448</v>
      </c>
      <c r="B672" s="2" t="s">
        <v>646</v>
      </c>
      <c r="C672" s="2" t="s">
        <v>766</v>
      </c>
      <c r="D672" s="7">
        <v>39.200000000000003</v>
      </c>
      <c r="E672" s="2">
        <v>121</v>
      </c>
      <c r="F672" s="2">
        <v>87</v>
      </c>
    </row>
    <row r="673" spans="1:6" x14ac:dyDescent="0.3">
      <c r="A673" s="2" t="s">
        <v>1449</v>
      </c>
      <c r="B673" s="2" t="s">
        <v>648</v>
      </c>
      <c r="C673" s="2" t="s">
        <v>738</v>
      </c>
      <c r="D673" s="7">
        <v>32.5</v>
      </c>
      <c r="E673" s="2">
        <v>176</v>
      </c>
      <c r="F673" s="2">
        <v>93</v>
      </c>
    </row>
    <row r="674" spans="1:6" x14ac:dyDescent="0.3">
      <c r="A674" s="2" t="s">
        <v>1450</v>
      </c>
      <c r="B674" s="2" t="s">
        <v>648</v>
      </c>
      <c r="C674" s="2" t="s">
        <v>714</v>
      </c>
      <c r="D674" s="7">
        <v>40.6</v>
      </c>
      <c r="E674" s="2">
        <v>165</v>
      </c>
      <c r="F674" s="2">
        <v>147</v>
      </c>
    </row>
    <row r="675" spans="1:6" x14ac:dyDescent="0.3">
      <c r="A675" s="2" t="s">
        <v>1451</v>
      </c>
      <c r="B675" s="2" t="s">
        <v>648</v>
      </c>
      <c r="C675" s="2" t="s">
        <v>734</v>
      </c>
      <c r="D675" s="7">
        <v>26.9</v>
      </c>
      <c r="E675" s="2">
        <v>119</v>
      </c>
      <c r="F675" s="2">
        <v>58</v>
      </c>
    </row>
    <row r="676" spans="1:6" x14ac:dyDescent="0.3">
      <c r="A676" s="2" t="s">
        <v>1452</v>
      </c>
      <c r="B676" s="2" t="s">
        <v>650</v>
      </c>
      <c r="C676" s="2" t="s">
        <v>746</v>
      </c>
      <c r="D676" s="7">
        <v>48</v>
      </c>
      <c r="E676" s="2">
        <v>137</v>
      </c>
      <c r="F676" s="2">
        <v>103</v>
      </c>
    </row>
    <row r="677" spans="1:6" x14ac:dyDescent="0.3">
      <c r="A677" s="2" t="s">
        <v>1453</v>
      </c>
      <c r="B677" s="2" t="s">
        <v>650</v>
      </c>
      <c r="C677" s="2" t="s">
        <v>681</v>
      </c>
      <c r="D677" s="7">
        <v>52</v>
      </c>
      <c r="E677" s="2">
        <v>146</v>
      </c>
      <c r="F677" s="2">
        <v>60</v>
      </c>
    </row>
    <row r="678" spans="1:6" x14ac:dyDescent="0.3">
      <c r="A678" s="2" t="s">
        <v>1454</v>
      </c>
      <c r="B678" s="2" t="s">
        <v>652</v>
      </c>
      <c r="C678" s="2" t="s">
        <v>764</v>
      </c>
      <c r="D678" s="7">
        <v>22.7</v>
      </c>
      <c r="E678" s="2">
        <v>139</v>
      </c>
      <c r="F678" s="2">
        <v>151</v>
      </c>
    </row>
    <row r="679" spans="1:6" x14ac:dyDescent="0.3">
      <c r="A679" s="2" t="s">
        <v>1455</v>
      </c>
      <c r="B679" s="2" t="s">
        <v>652</v>
      </c>
      <c r="C679" s="2" t="s">
        <v>760</v>
      </c>
      <c r="D679" s="7">
        <v>21.9</v>
      </c>
      <c r="E679" s="2">
        <v>119</v>
      </c>
      <c r="F679" s="2">
        <v>152</v>
      </c>
    </row>
    <row r="680" spans="1:6" x14ac:dyDescent="0.3">
      <c r="A680" s="2" t="s">
        <v>1456</v>
      </c>
      <c r="B680" s="2" t="s">
        <v>652</v>
      </c>
      <c r="C680" s="2" t="s">
        <v>740</v>
      </c>
      <c r="D680" s="7">
        <v>27.7</v>
      </c>
      <c r="E680" s="2">
        <v>149</v>
      </c>
      <c r="F680" s="2">
        <v>139</v>
      </c>
    </row>
    <row r="681" spans="1:6" x14ac:dyDescent="0.3">
      <c r="A681" s="2" t="s">
        <v>1457</v>
      </c>
      <c r="B681" s="2" t="s">
        <v>652</v>
      </c>
      <c r="C681" s="2" t="s">
        <v>742</v>
      </c>
      <c r="D681" s="7">
        <v>27.7</v>
      </c>
      <c r="E681" s="2">
        <v>124</v>
      </c>
      <c r="F681" s="2">
        <v>170</v>
      </c>
    </row>
    <row r="682" spans="1:6" x14ac:dyDescent="0.3">
      <c r="A682" s="2" t="s">
        <v>1458</v>
      </c>
      <c r="B682" s="2" t="s">
        <v>654</v>
      </c>
      <c r="C682" s="2" t="s">
        <v>712</v>
      </c>
      <c r="D682" s="7">
        <v>45</v>
      </c>
      <c r="E682" s="2">
        <v>179</v>
      </c>
      <c r="F682" s="2">
        <v>84</v>
      </c>
    </row>
    <row r="683" spans="1:6" x14ac:dyDescent="0.3">
      <c r="A683" s="2" t="s">
        <v>1459</v>
      </c>
      <c r="B683" s="2" t="s">
        <v>654</v>
      </c>
      <c r="C683" s="2" t="s">
        <v>750</v>
      </c>
      <c r="D683" s="7">
        <v>23.4</v>
      </c>
      <c r="E683" s="2">
        <v>163</v>
      </c>
      <c r="F683" s="2">
        <v>127</v>
      </c>
    </row>
    <row r="684" spans="1:6" x14ac:dyDescent="0.3">
      <c r="A684" s="2" t="s">
        <v>1460</v>
      </c>
      <c r="B684" s="2" t="s">
        <v>654</v>
      </c>
      <c r="C684" s="2" t="s">
        <v>758</v>
      </c>
      <c r="D684" s="7">
        <v>31.6</v>
      </c>
      <c r="E684" s="2">
        <v>97</v>
      </c>
      <c r="F684" s="2">
        <v>77</v>
      </c>
    </row>
    <row r="685" spans="1:6" x14ac:dyDescent="0.3">
      <c r="A685" s="2" t="s">
        <v>1461</v>
      </c>
      <c r="B685" s="2" t="s">
        <v>656</v>
      </c>
      <c r="C685" s="2" t="s">
        <v>762</v>
      </c>
      <c r="D685" s="7">
        <v>31.6</v>
      </c>
      <c r="E685" s="2">
        <v>103</v>
      </c>
      <c r="F685" s="2">
        <v>124</v>
      </c>
    </row>
    <row r="686" spans="1:6" x14ac:dyDescent="0.3">
      <c r="A686" s="2" t="s">
        <v>1462</v>
      </c>
      <c r="B686" s="2" t="s">
        <v>656</v>
      </c>
      <c r="C686" s="2" t="s">
        <v>677</v>
      </c>
      <c r="D686" s="7">
        <v>31.6</v>
      </c>
      <c r="E686" s="2">
        <v>154</v>
      </c>
      <c r="F686" s="2">
        <v>72</v>
      </c>
    </row>
    <row r="687" spans="1:6" x14ac:dyDescent="0.3">
      <c r="A687" s="2" t="s">
        <v>1463</v>
      </c>
      <c r="B687" s="2" t="s">
        <v>656</v>
      </c>
      <c r="C687" s="2" t="s">
        <v>744</v>
      </c>
      <c r="D687" s="7">
        <v>36.9</v>
      </c>
      <c r="E687" s="2">
        <v>145</v>
      </c>
      <c r="F687" s="2">
        <v>92</v>
      </c>
    </row>
    <row r="688" spans="1:6" x14ac:dyDescent="0.3">
      <c r="A688" s="2" t="s">
        <v>1464</v>
      </c>
      <c r="B688" s="2" t="s">
        <v>658</v>
      </c>
      <c r="C688" s="2" t="s">
        <v>697</v>
      </c>
      <c r="D688" s="7">
        <v>29.1</v>
      </c>
      <c r="E688" s="2">
        <v>157</v>
      </c>
      <c r="F688" s="2">
        <v>105</v>
      </c>
    </row>
    <row r="689" spans="1:6" x14ac:dyDescent="0.3">
      <c r="A689" s="2" t="s">
        <v>1465</v>
      </c>
      <c r="B689" s="2" t="s">
        <v>658</v>
      </c>
      <c r="C689" s="2" t="s">
        <v>772</v>
      </c>
      <c r="D689" s="7">
        <v>45.7</v>
      </c>
      <c r="E689" s="2">
        <v>67</v>
      </c>
      <c r="F689" s="2">
        <v>143</v>
      </c>
    </row>
    <row r="690" spans="1:6" x14ac:dyDescent="0.3">
      <c r="A690" s="2" t="s">
        <v>1466</v>
      </c>
      <c r="B690" s="2" t="s">
        <v>658</v>
      </c>
      <c r="C690" s="2" t="s">
        <v>714</v>
      </c>
      <c r="D690" s="7">
        <v>25.2</v>
      </c>
      <c r="E690" s="2">
        <v>86</v>
      </c>
      <c r="F690" s="2">
        <v>169</v>
      </c>
    </row>
    <row r="691" spans="1:6" x14ac:dyDescent="0.3">
      <c r="A691" s="2" t="s">
        <v>1467</v>
      </c>
      <c r="B691" s="2" t="s">
        <v>660</v>
      </c>
      <c r="C691" s="2" t="s">
        <v>762</v>
      </c>
      <c r="D691" s="7">
        <v>20</v>
      </c>
      <c r="E691" s="2">
        <v>156</v>
      </c>
      <c r="F691" s="2">
        <v>56</v>
      </c>
    </row>
    <row r="692" spans="1:6" x14ac:dyDescent="0.3">
      <c r="A692" s="2" t="s">
        <v>1468</v>
      </c>
      <c r="B692" s="2" t="s">
        <v>660</v>
      </c>
      <c r="C692" s="2" t="s">
        <v>688</v>
      </c>
      <c r="D692" s="7">
        <v>17.899999999999999</v>
      </c>
      <c r="E692" s="2">
        <v>88</v>
      </c>
      <c r="F692" s="2">
        <v>118</v>
      </c>
    </row>
    <row r="693" spans="1:6" x14ac:dyDescent="0.3">
      <c r="A693" s="2" t="s">
        <v>1469</v>
      </c>
      <c r="B693" s="2" t="s">
        <v>660</v>
      </c>
      <c r="C693" s="2" t="s">
        <v>716</v>
      </c>
      <c r="D693" s="7">
        <v>19.7</v>
      </c>
      <c r="E693" s="2">
        <v>153</v>
      </c>
      <c r="F693" s="2">
        <v>162</v>
      </c>
    </row>
    <row r="694" spans="1:6" x14ac:dyDescent="0.3">
      <c r="A694" s="2" t="s">
        <v>1470</v>
      </c>
      <c r="B694" s="2" t="s">
        <v>660</v>
      </c>
      <c r="C694" s="2" t="s">
        <v>703</v>
      </c>
      <c r="D694" s="7">
        <v>24.5</v>
      </c>
      <c r="E694" s="2">
        <v>166</v>
      </c>
      <c r="F694" s="2">
        <v>169</v>
      </c>
    </row>
    <row r="695" spans="1:6" x14ac:dyDescent="0.3">
      <c r="A695" s="2" t="s">
        <v>1471</v>
      </c>
      <c r="B695" s="2" t="s">
        <v>660</v>
      </c>
      <c r="C695" s="2" t="s">
        <v>730</v>
      </c>
      <c r="D695" s="7">
        <v>17.899999999999999</v>
      </c>
      <c r="E695" s="2">
        <v>117</v>
      </c>
      <c r="F695" s="2">
        <v>91</v>
      </c>
    </row>
    <row r="696" spans="1:6" x14ac:dyDescent="0.3">
      <c r="A696" s="2" t="s">
        <v>1472</v>
      </c>
      <c r="B696" s="2" t="s">
        <v>662</v>
      </c>
      <c r="C696" s="2" t="s">
        <v>720</v>
      </c>
      <c r="D696" s="7">
        <v>32.700000000000003</v>
      </c>
      <c r="E696" s="2">
        <v>71</v>
      </c>
      <c r="F696" s="2">
        <v>140</v>
      </c>
    </row>
    <row r="697" spans="1:6" x14ac:dyDescent="0.3">
      <c r="A697" s="2" t="s">
        <v>1473</v>
      </c>
      <c r="B697" s="2" t="s">
        <v>662</v>
      </c>
      <c r="C697" s="2" t="s">
        <v>681</v>
      </c>
      <c r="D697" s="7">
        <v>22.8</v>
      </c>
      <c r="E697" s="2">
        <v>176</v>
      </c>
      <c r="F697" s="2">
        <v>79</v>
      </c>
    </row>
    <row r="698" spans="1:6" x14ac:dyDescent="0.3">
      <c r="A698" s="2" t="s">
        <v>1474</v>
      </c>
      <c r="B698" s="2" t="s">
        <v>662</v>
      </c>
      <c r="C698" s="2" t="s">
        <v>732</v>
      </c>
      <c r="D698" s="7">
        <v>44.5</v>
      </c>
      <c r="E698" s="2">
        <v>144</v>
      </c>
      <c r="F698" s="2">
        <v>87</v>
      </c>
    </row>
    <row r="699" spans="1:6" x14ac:dyDescent="0.3">
      <c r="A699" s="2" t="s">
        <v>1475</v>
      </c>
      <c r="B699" s="2" t="s">
        <v>664</v>
      </c>
      <c r="C699" s="2" t="s">
        <v>736</v>
      </c>
      <c r="D699" s="7">
        <v>14.7</v>
      </c>
      <c r="E699" s="2">
        <v>81</v>
      </c>
      <c r="F699" s="2">
        <v>65</v>
      </c>
    </row>
    <row r="700" spans="1:6" x14ac:dyDescent="0.3">
      <c r="A700" s="2" t="s">
        <v>1476</v>
      </c>
      <c r="B700" s="2" t="s">
        <v>664</v>
      </c>
      <c r="C700" s="2" t="s">
        <v>693</v>
      </c>
      <c r="D700" s="7">
        <v>26.3</v>
      </c>
      <c r="E700" s="2">
        <v>91</v>
      </c>
      <c r="F700" s="2">
        <v>87</v>
      </c>
    </row>
    <row r="701" spans="1:6" x14ac:dyDescent="0.3">
      <c r="A701" s="2" t="s">
        <v>1477</v>
      </c>
      <c r="B701" s="2" t="s">
        <v>664</v>
      </c>
      <c r="C701" s="2" t="s">
        <v>701</v>
      </c>
      <c r="D701" s="7">
        <v>29.7</v>
      </c>
      <c r="E701" s="2">
        <v>157</v>
      </c>
      <c r="F701" s="2">
        <v>70</v>
      </c>
    </row>
    <row r="702" spans="1:6" x14ac:dyDescent="0.3">
      <c r="A702" s="2" t="s">
        <v>1478</v>
      </c>
      <c r="B702" s="2" t="s">
        <v>664</v>
      </c>
      <c r="C702" s="2" t="s">
        <v>770</v>
      </c>
      <c r="D702" s="7">
        <v>29.3</v>
      </c>
      <c r="E702" s="2">
        <v>115</v>
      </c>
      <c r="F702" s="2">
        <v>95</v>
      </c>
    </row>
    <row r="703" spans="1:6" x14ac:dyDescent="0.3">
      <c r="A703" s="2" t="s">
        <v>1479</v>
      </c>
      <c r="B703" s="2" t="s">
        <v>666</v>
      </c>
      <c r="C703" s="2" t="s">
        <v>712</v>
      </c>
      <c r="D703" s="7">
        <v>29.7</v>
      </c>
      <c r="E703" s="2">
        <v>147</v>
      </c>
      <c r="F703" s="2">
        <v>77</v>
      </c>
    </row>
    <row r="704" spans="1:6" x14ac:dyDescent="0.3">
      <c r="A704" s="2" t="s">
        <v>1480</v>
      </c>
      <c r="B704" s="2" t="s">
        <v>666</v>
      </c>
      <c r="C704" s="2" t="s">
        <v>718</v>
      </c>
      <c r="D704" s="7">
        <v>34.4</v>
      </c>
      <c r="E704" s="2">
        <v>95</v>
      </c>
      <c r="F704" s="2">
        <v>165</v>
      </c>
    </row>
    <row r="705" spans="1:11" x14ac:dyDescent="0.3">
      <c r="A705" s="2" t="s">
        <v>1481</v>
      </c>
      <c r="B705" s="2" t="s">
        <v>666</v>
      </c>
      <c r="C705" s="2" t="s">
        <v>705</v>
      </c>
      <c r="D705" s="7">
        <v>35.9</v>
      </c>
      <c r="E705" s="2">
        <v>123</v>
      </c>
      <c r="F705" s="2">
        <v>67</v>
      </c>
    </row>
    <row r="706" spans="1:11" x14ac:dyDescent="0.3">
      <c r="A706" s="2" t="s">
        <v>1482</v>
      </c>
      <c r="B706" s="2" t="s">
        <v>668</v>
      </c>
      <c r="C706" s="2" t="s">
        <v>728</v>
      </c>
      <c r="D706" s="7">
        <v>48</v>
      </c>
      <c r="E706" s="2">
        <v>93</v>
      </c>
      <c r="F706" s="2">
        <v>172</v>
      </c>
    </row>
    <row r="707" spans="1:11" x14ac:dyDescent="0.3">
      <c r="A707" s="2" t="s">
        <v>1483</v>
      </c>
      <c r="B707" s="2" t="s">
        <v>668</v>
      </c>
      <c r="C707" s="2" t="s">
        <v>740</v>
      </c>
      <c r="D707" s="7">
        <v>52</v>
      </c>
      <c r="E707" s="2">
        <v>133</v>
      </c>
      <c r="F707" s="2">
        <v>56</v>
      </c>
    </row>
    <row r="708" spans="1:11" x14ac:dyDescent="0.3">
      <c r="A708" s="2" t="s">
        <v>1484</v>
      </c>
      <c r="B708" s="2" t="s">
        <v>670</v>
      </c>
      <c r="C708" s="2" t="s">
        <v>752</v>
      </c>
      <c r="D708" s="7">
        <v>42.7</v>
      </c>
      <c r="E708" s="2">
        <v>172</v>
      </c>
      <c r="F708" s="2">
        <v>109</v>
      </c>
    </row>
    <row r="709" spans="1:11" x14ac:dyDescent="0.3">
      <c r="A709" s="2" t="s">
        <v>1485</v>
      </c>
      <c r="B709" s="2" t="s">
        <v>670</v>
      </c>
      <c r="C709" s="2" t="s">
        <v>754</v>
      </c>
      <c r="D709" s="7">
        <v>36.9</v>
      </c>
      <c r="E709" s="2">
        <v>177</v>
      </c>
      <c r="F709" s="2">
        <v>109</v>
      </c>
    </row>
    <row r="710" spans="1:11" x14ac:dyDescent="0.3">
      <c r="A710" s="2" t="s">
        <v>1486</v>
      </c>
      <c r="B710" s="2" t="s">
        <v>670</v>
      </c>
      <c r="C710" s="2" t="s">
        <v>691</v>
      </c>
      <c r="D710" s="7">
        <v>20.399999999999999</v>
      </c>
      <c r="E710" s="2">
        <v>165</v>
      </c>
      <c r="F710" s="2">
        <v>51</v>
      </c>
    </row>
    <row r="711" spans="1:11" x14ac:dyDescent="0.3">
      <c r="A711" s="2" t="s">
        <v>778</v>
      </c>
      <c r="B711" s="2"/>
      <c r="C711" s="2"/>
      <c r="D711" s="2"/>
      <c r="E711" s="2"/>
      <c r="F711" s="2"/>
      <c r="I711" s="2"/>
    </row>
    <row r="712" spans="1:11" x14ac:dyDescent="0.3">
      <c r="A712" s="2" t="s">
        <v>779</v>
      </c>
      <c r="B712" s="2"/>
      <c r="C712" s="2"/>
      <c r="D712" s="2"/>
      <c r="E712" s="2"/>
      <c r="F712" s="2"/>
      <c r="I712" s="2"/>
      <c r="J712" s="2"/>
      <c r="K712" s="2"/>
    </row>
    <row r="713" spans="1:11" x14ac:dyDescent="0.3">
      <c r="A713" s="2" t="s">
        <v>780</v>
      </c>
      <c r="B713" s="2"/>
      <c r="C713" s="2"/>
      <c r="D713" s="2"/>
      <c r="E713" s="2"/>
      <c r="F713" s="2"/>
      <c r="I713" s="2"/>
      <c r="J713" s="2"/>
      <c r="K713" s="2"/>
    </row>
    <row r="714" spans="1:11" x14ac:dyDescent="0.3">
      <c r="A714" s="2" t="s">
        <v>781</v>
      </c>
      <c r="B714" s="2"/>
      <c r="C714" s="2"/>
      <c r="D714" s="2"/>
      <c r="E714" s="2"/>
      <c r="F714" s="2"/>
      <c r="I714" s="2"/>
      <c r="J714" s="2"/>
      <c r="K714" s="2"/>
    </row>
    <row r="715" spans="1:11" x14ac:dyDescent="0.3">
      <c r="A715" s="2" t="s">
        <v>782</v>
      </c>
      <c r="B715" s="2"/>
      <c r="C715" s="2"/>
      <c r="D715" s="2"/>
      <c r="E715" s="2"/>
      <c r="F715" s="2"/>
      <c r="I715" s="2"/>
      <c r="J715" s="2"/>
      <c r="K715" s="2"/>
    </row>
    <row r="716" spans="1:11" x14ac:dyDescent="0.3">
      <c r="A716" s="2" t="s">
        <v>783</v>
      </c>
      <c r="B716" s="2"/>
      <c r="C716" s="2"/>
      <c r="D716" s="2"/>
      <c r="E716" s="2"/>
      <c r="F716" s="2"/>
      <c r="I716" s="2"/>
      <c r="J716" s="2"/>
      <c r="K716" s="2"/>
    </row>
    <row r="717" spans="1:11" x14ac:dyDescent="0.3">
      <c r="A717" s="2" t="s">
        <v>784</v>
      </c>
      <c r="B717" s="2"/>
      <c r="C717" s="2"/>
      <c r="D717" s="2"/>
      <c r="E717" s="2"/>
      <c r="F717" s="2"/>
      <c r="I717" s="2"/>
      <c r="J717" s="2"/>
      <c r="K717" s="2"/>
    </row>
    <row r="718" spans="1:11" x14ac:dyDescent="0.3">
      <c r="A718" s="2" t="s">
        <v>785</v>
      </c>
      <c r="B718" s="2"/>
      <c r="C718" s="2"/>
      <c r="D718" s="2"/>
      <c r="E718" s="2"/>
      <c r="F718" s="2"/>
      <c r="I718" s="2"/>
      <c r="J718" s="2"/>
      <c r="K718" s="2"/>
    </row>
    <row r="719" spans="1:11" x14ac:dyDescent="0.3">
      <c r="A719" s="2" t="s">
        <v>786</v>
      </c>
      <c r="B719" s="2"/>
      <c r="C719" s="2"/>
      <c r="D719" s="2"/>
      <c r="E719" s="2"/>
      <c r="F719" s="2"/>
      <c r="I719" s="2"/>
      <c r="J719" s="2"/>
      <c r="K719" s="2"/>
    </row>
    <row r="720" spans="1:11" x14ac:dyDescent="0.3">
      <c r="A720" s="2" t="s">
        <v>787</v>
      </c>
      <c r="B720" s="2"/>
      <c r="C720" s="2"/>
      <c r="D720" s="2"/>
      <c r="E720" s="2"/>
      <c r="F720" s="2"/>
      <c r="I720" s="2"/>
      <c r="J720" s="2"/>
      <c r="K720" s="2"/>
    </row>
    <row r="721" spans="1:11" x14ac:dyDescent="0.3">
      <c r="A721" s="2" t="s">
        <v>788</v>
      </c>
      <c r="B721" s="2"/>
      <c r="C721" s="2"/>
      <c r="D721" s="2"/>
      <c r="E721" s="2"/>
      <c r="F721" s="2"/>
      <c r="I721" s="2"/>
      <c r="J721" s="2"/>
      <c r="K721" s="2"/>
    </row>
    <row r="722" spans="1:11" x14ac:dyDescent="0.3">
      <c r="A722" s="2" t="s">
        <v>789</v>
      </c>
      <c r="B722" s="2"/>
      <c r="C722" s="2"/>
      <c r="D722" s="2"/>
      <c r="E722" s="2"/>
      <c r="F722" s="2"/>
      <c r="I722" s="2"/>
      <c r="J722" s="2"/>
      <c r="K722" s="2"/>
    </row>
    <row r="723" spans="1:11" x14ac:dyDescent="0.3">
      <c r="A723" s="2" t="s">
        <v>790</v>
      </c>
      <c r="B723" s="2"/>
      <c r="C723" s="2"/>
      <c r="D723" s="2"/>
      <c r="E723" s="2"/>
      <c r="F723" s="2"/>
      <c r="I723" s="2"/>
      <c r="J723" s="2"/>
      <c r="K723" s="2"/>
    </row>
    <row r="724" spans="1:11" x14ac:dyDescent="0.3">
      <c r="A724" s="2" t="s">
        <v>791</v>
      </c>
      <c r="B724" s="2"/>
      <c r="C724" s="2"/>
      <c r="D724" s="2"/>
      <c r="E724" s="2"/>
      <c r="F724" s="2"/>
      <c r="I724" s="2"/>
      <c r="J724" s="2"/>
      <c r="K724" s="2"/>
    </row>
    <row r="725" spans="1:11" x14ac:dyDescent="0.3">
      <c r="A725" s="2" t="s">
        <v>792</v>
      </c>
      <c r="B725" s="2"/>
      <c r="C725" s="2"/>
      <c r="D725" s="2"/>
      <c r="E725" s="2"/>
      <c r="F725" s="2"/>
      <c r="I725" s="2"/>
      <c r="J725" s="2"/>
      <c r="K725" s="2"/>
    </row>
    <row r="726" spans="1:11" x14ac:dyDescent="0.3">
      <c r="A726" s="2" t="s">
        <v>793</v>
      </c>
      <c r="B726" s="2"/>
      <c r="C726" s="2"/>
      <c r="D726" s="2"/>
      <c r="E726" s="2"/>
      <c r="F726" s="2"/>
      <c r="I726" s="2"/>
      <c r="J726" s="2"/>
      <c r="K726" s="2"/>
    </row>
    <row r="727" spans="1:11" x14ac:dyDescent="0.3">
      <c r="A727" s="2" t="s">
        <v>794</v>
      </c>
      <c r="B727" s="2"/>
      <c r="C727" s="2"/>
      <c r="D727" s="2"/>
      <c r="E727" s="2"/>
      <c r="F727" s="2"/>
      <c r="I727" s="2"/>
      <c r="J727" s="2"/>
      <c r="K727" s="2"/>
    </row>
    <row r="728" spans="1:11" x14ac:dyDescent="0.3">
      <c r="A728" s="2" t="s">
        <v>795</v>
      </c>
      <c r="B728" s="2"/>
      <c r="C728" s="2"/>
      <c r="D728" s="2"/>
      <c r="E728" s="2"/>
      <c r="F728" s="2"/>
      <c r="I728" s="2"/>
      <c r="J728" s="2"/>
      <c r="K728" s="2"/>
    </row>
    <row r="729" spans="1:11" x14ac:dyDescent="0.3">
      <c r="A729" s="2" t="s">
        <v>796</v>
      </c>
      <c r="B729" s="2"/>
      <c r="C729" s="2"/>
      <c r="D729" s="2"/>
      <c r="E729" s="2"/>
      <c r="F729" s="2"/>
      <c r="I729" s="2"/>
      <c r="J729" s="2"/>
      <c r="K729" s="2"/>
    </row>
    <row r="730" spans="1:11" x14ac:dyDescent="0.3">
      <c r="A730" s="2" t="s">
        <v>797</v>
      </c>
      <c r="B730" s="2"/>
      <c r="C730" s="2"/>
      <c r="D730" s="2"/>
      <c r="E730" s="2"/>
      <c r="F730" s="2"/>
      <c r="I730" s="2"/>
      <c r="J730" s="2"/>
      <c r="K730" s="2"/>
    </row>
    <row r="731" spans="1:11" x14ac:dyDescent="0.3">
      <c r="A731" s="2" t="s">
        <v>798</v>
      </c>
      <c r="B731" s="2"/>
      <c r="C731" s="2"/>
      <c r="D731" s="2"/>
      <c r="E731" s="2"/>
      <c r="F731" s="2"/>
      <c r="I731" s="2"/>
      <c r="J731" s="2"/>
      <c r="K731" s="2"/>
    </row>
    <row r="732" spans="1:11" x14ac:dyDescent="0.3">
      <c r="A732" s="2" t="s">
        <v>799</v>
      </c>
      <c r="B732" s="2"/>
      <c r="C732" s="2"/>
      <c r="D732" s="2"/>
      <c r="E732" s="2"/>
      <c r="F732" s="2"/>
      <c r="I732" s="2"/>
      <c r="J732" s="2"/>
      <c r="K732" s="2"/>
    </row>
    <row r="733" spans="1:11" x14ac:dyDescent="0.3">
      <c r="A733" s="2" t="s">
        <v>800</v>
      </c>
      <c r="B733" s="2"/>
      <c r="C733" s="2"/>
      <c r="D733" s="2"/>
      <c r="E733" s="2"/>
      <c r="F733" s="2"/>
      <c r="I733" s="2"/>
      <c r="J733" s="2"/>
      <c r="K733" s="2"/>
    </row>
    <row r="734" spans="1:11" x14ac:dyDescent="0.3">
      <c r="A734" s="2" t="s">
        <v>801</v>
      </c>
      <c r="B734" s="2"/>
      <c r="C734" s="2"/>
      <c r="D734" s="2"/>
      <c r="E734" s="2"/>
      <c r="F734" s="2"/>
      <c r="I734" s="2"/>
      <c r="J734" s="2"/>
      <c r="K734" s="2"/>
    </row>
    <row r="735" spans="1:11" x14ac:dyDescent="0.3">
      <c r="A735" s="2" t="s">
        <v>802</v>
      </c>
      <c r="B735" s="2"/>
      <c r="C735" s="2"/>
      <c r="D735" s="2"/>
      <c r="E735" s="2"/>
      <c r="F735" s="2"/>
      <c r="I735" s="2"/>
      <c r="J735" s="2"/>
      <c r="K735" s="2"/>
    </row>
    <row r="736" spans="1:11" x14ac:dyDescent="0.3">
      <c r="A736" s="2" t="s">
        <v>803</v>
      </c>
      <c r="B736" s="2"/>
      <c r="C736" s="2"/>
      <c r="D736" s="2"/>
      <c r="E736" s="2"/>
      <c r="F736" s="2"/>
      <c r="I736" s="2"/>
      <c r="J736" s="2"/>
      <c r="K736" s="2"/>
    </row>
    <row r="737" spans="1:11" x14ac:dyDescent="0.3">
      <c r="A737" s="2" t="s">
        <v>804</v>
      </c>
      <c r="B737" s="2"/>
      <c r="C737" s="2"/>
      <c r="D737" s="2"/>
      <c r="E737" s="2"/>
      <c r="F737" s="2"/>
      <c r="I737" s="2"/>
      <c r="J737" s="2"/>
      <c r="K737" s="2"/>
    </row>
    <row r="738" spans="1:11" x14ac:dyDescent="0.3">
      <c r="A738" s="2" t="s">
        <v>805</v>
      </c>
      <c r="B738" s="2"/>
      <c r="C738" s="2"/>
      <c r="D738" s="2"/>
      <c r="E738" s="2"/>
      <c r="F738" s="2"/>
      <c r="I738" s="2"/>
      <c r="J738" s="2"/>
      <c r="K738" s="2"/>
    </row>
    <row r="739" spans="1:11" x14ac:dyDescent="0.3">
      <c r="A739" s="2" t="s">
        <v>806</v>
      </c>
      <c r="B739" s="2"/>
      <c r="C739" s="2"/>
      <c r="D739" s="2"/>
      <c r="E739" s="2"/>
      <c r="F739" s="2"/>
      <c r="I739" s="2"/>
      <c r="J739" s="2"/>
      <c r="K739" s="2"/>
    </row>
    <row r="740" spans="1:11" x14ac:dyDescent="0.3">
      <c r="A740" s="2" t="s">
        <v>807</v>
      </c>
      <c r="B740" s="2"/>
      <c r="C740" s="2"/>
      <c r="D740" s="2"/>
      <c r="E740" s="2"/>
      <c r="F740" s="2"/>
      <c r="I740" s="2"/>
      <c r="J740" s="2"/>
      <c r="K740" s="2"/>
    </row>
    <row r="741" spans="1:11" x14ac:dyDescent="0.3">
      <c r="A741" s="2" t="s">
        <v>808</v>
      </c>
      <c r="B741" s="2"/>
      <c r="C741" s="2"/>
      <c r="D741" s="2"/>
      <c r="E741" s="2"/>
      <c r="F741" s="2"/>
      <c r="I741" s="2"/>
      <c r="J741" s="2"/>
      <c r="K741" s="2"/>
    </row>
    <row r="742" spans="1:11" x14ac:dyDescent="0.3">
      <c r="A742" s="2" t="s">
        <v>809</v>
      </c>
      <c r="B742" s="2"/>
      <c r="C742" s="2"/>
      <c r="D742" s="2"/>
      <c r="E742" s="2"/>
      <c r="F742" s="2"/>
      <c r="I742" s="2"/>
      <c r="J742" s="2"/>
      <c r="K742" s="2"/>
    </row>
    <row r="743" spans="1:11" x14ac:dyDescent="0.3">
      <c r="A743" s="2" t="s">
        <v>810</v>
      </c>
      <c r="B743" s="2"/>
      <c r="C743" s="2"/>
      <c r="D743" s="2"/>
      <c r="E743" s="2"/>
      <c r="F743" s="2"/>
      <c r="I743" s="2"/>
      <c r="J743" s="2"/>
      <c r="K743" s="2"/>
    </row>
    <row r="744" spans="1:11" x14ac:dyDescent="0.3">
      <c r="A744" s="2" t="s">
        <v>811</v>
      </c>
      <c r="B744" s="2"/>
      <c r="C744" s="2"/>
      <c r="D744" s="2"/>
      <c r="E744" s="2"/>
      <c r="F744" s="2"/>
      <c r="I744" s="2"/>
      <c r="J744" s="2"/>
      <c r="K744" s="2"/>
    </row>
    <row r="745" spans="1:11" x14ac:dyDescent="0.3">
      <c r="A745" s="2" t="s">
        <v>812</v>
      </c>
      <c r="B745" s="2"/>
      <c r="C745" s="2"/>
      <c r="D745" s="2"/>
      <c r="E745" s="2"/>
      <c r="F745" s="2"/>
      <c r="I745" s="2"/>
      <c r="J745" s="2"/>
      <c r="K745" s="2"/>
    </row>
    <row r="746" spans="1:11" x14ac:dyDescent="0.3">
      <c r="A746" s="2" t="s">
        <v>813</v>
      </c>
      <c r="B746" s="2"/>
      <c r="C746" s="2"/>
      <c r="D746" s="2"/>
      <c r="E746" s="2"/>
      <c r="F746" s="2"/>
      <c r="I746" s="2"/>
      <c r="J746" s="2"/>
      <c r="K746" s="2"/>
    </row>
    <row r="747" spans="1:11" x14ac:dyDescent="0.3">
      <c r="A747" s="2" t="s">
        <v>814</v>
      </c>
      <c r="B747" s="2"/>
      <c r="C747" s="2"/>
      <c r="D747" s="2"/>
      <c r="E747" s="2"/>
      <c r="F747" s="2"/>
      <c r="I747" s="2"/>
      <c r="J747" s="2"/>
      <c r="K747" s="2"/>
    </row>
    <row r="748" spans="1:11" x14ac:dyDescent="0.3">
      <c r="A748" s="2" t="s">
        <v>815</v>
      </c>
      <c r="B748" s="2"/>
      <c r="C748" s="2"/>
      <c r="D748" s="2"/>
      <c r="E748" s="2"/>
      <c r="F748" s="2"/>
      <c r="I748" s="2"/>
      <c r="J748" s="2"/>
      <c r="K748" s="2"/>
    </row>
    <row r="749" spans="1:11" x14ac:dyDescent="0.3">
      <c r="A749" s="2" t="s">
        <v>816</v>
      </c>
      <c r="B749" s="2"/>
      <c r="C749" s="2"/>
      <c r="D749" s="2"/>
      <c r="E749" s="2"/>
      <c r="F749" s="2"/>
      <c r="I749" s="2"/>
      <c r="J749" s="2"/>
      <c r="K749" s="2"/>
    </row>
    <row r="750" spans="1:11" x14ac:dyDescent="0.3">
      <c r="A750" s="2" t="s">
        <v>817</v>
      </c>
      <c r="B750" s="2"/>
      <c r="C750" s="2"/>
      <c r="D750" s="2"/>
      <c r="E750" s="2"/>
      <c r="F750" s="2"/>
      <c r="I750" s="2"/>
      <c r="J750" s="2"/>
      <c r="K750" s="2"/>
    </row>
    <row r="751" spans="1:11" x14ac:dyDescent="0.3">
      <c r="A751" s="2" t="s">
        <v>818</v>
      </c>
      <c r="B751" s="2"/>
      <c r="C751" s="2"/>
      <c r="D751" s="2"/>
      <c r="E751" s="2"/>
      <c r="F751" s="2"/>
      <c r="I751" s="2"/>
      <c r="J751" s="2"/>
      <c r="K751" s="2"/>
    </row>
    <row r="752" spans="1:11" x14ac:dyDescent="0.3">
      <c r="A752" s="2" t="s">
        <v>819</v>
      </c>
      <c r="B752" s="2"/>
      <c r="C752" s="2"/>
      <c r="D752" s="2"/>
      <c r="E752" s="2"/>
      <c r="F752" s="2"/>
      <c r="I752" s="2"/>
      <c r="J752" s="2"/>
      <c r="K752" s="2"/>
    </row>
    <row r="753" spans="1:11" x14ac:dyDescent="0.3">
      <c r="A753" s="2" t="s">
        <v>820</v>
      </c>
      <c r="B753" s="2"/>
      <c r="C753" s="2"/>
      <c r="D753" s="2"/>
      <c r="E753" s="2"/>
      <c r="F753" s="2"/>
      <c r="I753" s="2"/>
      <c r="J753" s="2"/>
      <c r="K753" s="2"/>
    </row>
    <row r="754" spans="1:11" x14ac:dyDescent="0.3">
      <c r="A754" s="2" t="s">
        <v>821</v>
      </c>
      <c r="B754" s="2"/>
      <c r="C754" s="2"/>
      <c r="D754" s="2"/>
      <c r="E754" s="2"/>
      <c r="F754" s="2"/>
      <c r="I754" s="2"/>
      <c r="J754" s="2"/>
      <c r="K754" s="2"/>
    </row>
    <row r="755" spans="1:11" x14ac:dyDescent="0.3">
      <c r="A755" s="2" t="s">
        <v>822</v>
      </c>
      <c r="B755" s="2"/>
      <c r="C755" s="2"/>
      <c r="D755" s="2"/>
      <c r="E755" s="2"/>
      <c r="F755" s="2"/>
      <c r="I755" s="2"/>
      <c r="J755" s="2"/>
      <c r="K755" s="2"/>
    </row>
    <row r="756" spans="1:11" x14ac:dyDescent="0.3">
      <c r="A756" s="2" t="s">
        <v>823</v>
      </c>
      <c r="B756" s="2"/>
      <c r="C756" s="2"/>
      <c r="D756" s="2"/>
      <c r="E756" s="2"/>
      <c r="F756" s="2"/>
      <c r="I756" s="2"/>
      <c r="J756" s="2"/>
      <c r="K756" s="2"/>
    </row>
    <row r="757" spans="1:11" x14ac:dyDescent="0.3">
      <c r="A757" s="2" t="s">
        <v>824</v>
      </c>
      <c r="B757" s="2"/>
      <c r="C757" s="2"/>
      <c r="D757" s="2"/>
      <c r="E757" s="2"/>
      <c r="F757" s="2"/>
      <c r="I757" s="2"/>
      <c r="J757" s="2"/>
      <c r="K757" s="2"/>
    </row>
    <row r="758" spans="1:11" x14ac:dyDescent="0.3">
      <c r="A758" s="2" t="s">
        <v>825</v>
      </c>
      <c r="B758" s="2"/>
      <c r="C758" s="2"/>
      <c r="D758" s="2"/>
      <c r="E758" s="2"/>
      <c r="F758" s="2"/>
    </row>
    <row r="759" spans="1:11" x14ac:dyDescent="0.3">
      <c r="A759" s="2" t="s">
        <v>826</v>
      </c>
      <c r="B759" s="2"/>
      <c r="C759" s="2"/>
      <c r="D759" s="2"/>
      <c r="E759" s="2"/>
      <c r="F759" s="2"/>
    </row>
    <row r="760" spans="1:11" x14ac:dyDescent="0.3">
      <c r="A760" s="2" t="s">
        <v>827</v>
      </c>
      <c r="B760" s="2"/>
      <c r="C760" s="2"/>
      <c r="D760" s="2"/>
      <c r="E760" s="2"/>
      <c r="F760" s="2"/>
    </row>
    <row r="761" spans="1:11" x14ac:dyDescent="0.3">
      <c r="A761" s="2" t="s">
        <v>828</v>
      </c>
      <c r="B761" s="2"/>
      <c r="C761" s="2"/>
      <c r="D761" s="2"/>
      <c r="E761" s="2"/>
      <c r="F761" s="2"/>
    </row>
    <row r="762" spans="1:11" x14ac:dyDescent="0.3">
      <c r="A762" s="2" t="s">
        <v>829</v>
      </c>
      <c r="B762" s="2"/>
      <c r="C762" s="2"/>
      <c r="D762" s="2"/>
      <c r="E762" s="2"/>
      <c r="F762" s="2"/>
    </row>
    <row r="763" spans="1:11" x14ac:dyDescent="0.3">
      <c r="A763" s="2" t="s">
        <v>830</v>
      </c>
      <c r="B763" s="2"/>
      <c r="C763" s="2"/>
      <c r="D763" s="2"/>
      <c r="E763" s="2"/>
      <c r="F763" s="2"/>
    </row>
    <row r="764" spans="1:11" x14ac:dyDescent="0.3">
      <c r="A764" s="2" t="s">
        <v>831</v>
      </c>
      <c r="B764" s="2"/>
      <c r="C764" s="2"/>
      <c r="D764" s="2"/>
      <c r="E764" s="2"/>
      <c r="F764" s="2"/>
    </row>
    <row r="765" spans="1:11" x14ac:dyDescent="0.3">
      <c r="A765" s="2" t="s">
        <v>832</v>
      </c>
      <c r="B765" s="2"/>
      <c r="C765" s="2"/>
      <c r="D765" s="2"/>
      <c r="E765" s="2"/>
      <c r="F765" s="2"/>
    </row>
    <row r="766" spans="1:11" x14ac:dyDescent="0.3">
      <c r="A766" s="2" t="s">
        <v>833</v>
      </c>
      <c r="B766" s="2"/>
      <c r="C766" s="2"/>
      <c r="D766" s="2"/>
      <c r="E766" s="2"/>
      <c r="F766" s="2"/>
    </row>
    <row r="767" spans="1:11" x14ac:dyDescent="0.3">
      <c r="A767" s="2" t="s">
        <v>834</v>
      </c>
      <c r="B767" s="2"/>
      <c r="C767" s="2"/>
      <c r="D767" s="2"/>
      <c r="E767" s="2"/>
      <c r="F767" s="2"/>
    </row>
    <row r="768" spans="1:11" x14ac:dyDescent="0.3">
      <c r="A768" s="2" t="s">
        <v>835</v>
      </c>
      <c r="B768" s="2"/>
      <c r="C768" s="2"/>
      <c r="D768" s="2"/>
      <c r="E768" s="2"/>
      <c r="F768" s="2"/>
    </row>
    <row r="769" spans="1:6" x14ac:dyDescent="0.3">
      <c r="A769" s="2" t="s">
        <v>836</v>
      </c>
      <c r="B769" s="2"/>
      <c r="C769" s="2"/>
      <c r="D769" s="2"/>
      <c r="E769" s="2"/>
      <c r="F769" s="2"/>
    </row>
    <row r="770" spans="1:6" x14ac:dyDescent="0.3">
      <c r="A770" s="2" t="s">
        <v>837</v>
      </c>
      <c r="B770" s="2"/>
      <c r="C770" s="2"/>
      <c r="D770" s="2"/>
      <c r="E770" s="2"/>
      <c r="F770" s="2"/>
    </row>
    <row r="771" spans="1:6" x14ac:dyDescent="0.3">
      <c r="A771" s="2" t="s">
        <v>838</v>
      </c>
      <c r="B771" s="2"/>
      <c r="C771" s="2"/>
      <c r="D771" s="2"/>
      <c r="E771" s="2"/>
      <c r="F771" s="2"/>
    </row>
    <row r="772" spans="1:6" x14ac:dyDescent="0.3">
      <c r="A772" s="2" t="s">
        <v>839</v>
      </c>
      <c r="B772" s="2"/>
      <c r="C772" s="2"/>
      <c r="D772" s="2"/>
      <c r="E772" s="2"/>
      <c r="F772" s="2"/>
    </row>
    <row r="773" spans="1:6" x14ac:dyDescent="0.3">
      <c r="A773" s="2" t="s">
        <v>840</v>
      </c>
      <c r="B773" s="2"/>
      <c r="C773" s="2"/>
      <c r="D773" s="2"/>
      <c r="E773" s="2"/>
      <c r="F773" s="2"/>
    </row>
    <row r="774" spans="1:6" x14ac:dyDescent="0.3">
      <c r="A774" s="2" t="s">
        <v>841</v>
      </c>
      <c r="B774" s="2"/>
      <c r="C774" s="2"/>
      <c r="D774" s="2"/>
      <c r="E774" s="2"/>
      <c r="F774" s="2"/>
    </row>
    <row r="775" spans="1:6" x14ac:dyDescent="0.3">
      <c r="A775" s="2" t="s">
        <v>842</v>
      </c>
      <c r="B775" s="2"/>
      <c r="C775" s="2"/>
      <c r="D775" s="2"/>
      <c r="E775" s="2"/>
      <c r="F775" s="2"/>
    </row>
    <row r="776" spans="1:6" x14ac:dyDescent="0.3">
      <c r="A776" s="2" t="s">
        <v>843</v>
      </c>
      <c r="B776" s="2"/>
      <c r="C776" s="2"/>
      <c r="D776" s="2"/>
      <c r="E776" s="2"/>
      <c r="F776" s="2"/>
    </row>
    <row r="777" spans="1:6" x14ac:dyDescent="0.3">
      <c r="A777" s="2" t="s">
        <v>844</v>
      </c>
      <c r="B777" s="2"/>
      <c r="C777" s="2"/>
      <c r="D777" s="2"/>
      <c r="E777" s="2"/>
      <c r="F777" s="2"/>
    </row>
    <row r="778" spans="1:6" x14ac:dyDescent="0.3">
      <c r="A778" s="2" t="s">
        <v>845</v>
      </c>
      <c r="B778" s="2"/>
      <c r="C778" s="2"/>
      <c r="D778" s="2"/>
      <c r="E778" s="2"/>
      <c r="F778" s="2"/>
    </row>
    <row r="779" spans="1:6" x14ac:dyDescent="0.3">
      <c r="A779" s="2" t="s">
        <v>846</v>
      </c>
      <c r="B779" s="2"/>
      <c r="C779" s="2"/>
      <c r="D779" s="2"/>
      <c r="E779" s="2"/>
      <c r="F779" s="2"/>
    </row>
    <row r="780" spans="1:6" x14ac:dyDescent="0.3">
      <c r="A780" s="2" t="s">
        <v>847</v>
      </c>
      <c r="B780" s="2"/>
      <c r="C780" s="2"/>
      <c r="D780" s="2"/>
      <c r="E780" s="2"/>
      <c r="F780" s="2"/>
    </row>
    <row r="781" spans="1:6" x14ac:dyDescent="0.3">
      <c r="A781" s="2" t="s">
        <v>848</v>
      </c>
      <c r="B781" s="2"/>
      <c r="C781" s="2"/>
      <c r="D781" s="2"/>
      <c r="E781" s="2"/>
      <c r="F781" s="2"/>
    </row>
    <row r="782" spans="1:6" x14ac:dyDescent="0.3">
      <c r="A782" s="2" t="s">
        <v>849</v>
      </c>
      <c r="B782" s="2"/>
      <c r="C782" s="2"/>
      <c r="D782" s="2"/>
      <c r="E782" s="2"/>
      <c r="F782" s="2"/>
    </row>
    <row r="783" spans="1:6" x14ac:dyDescent="0.3">
      <c r="A783" s="2" t="s">
        <v>850</v>
      </c>
      <c r="B783" s="2"/>
      <c r="C783" s="2"/>
      <c r="D783" s="2"/>
      <c r="E783" s="2"/>
      <c r="F783" s="2"/>
    </row>
    <row r="784" spans="1:6" x14ac:dyDescent="0.3">
      <c r="A784" s="2" t="s">
        <v>851</v>
      </c>
      <c r="B784" s="2"/>
      <c r="C784" s="2"/>
      <c r="D784" s="2"/>
      <c r="E784" s="2"/>
      <c r="F784" s="2"/>
    </row>
    <row r="785" spans="1:6" x14ac:dyDescent="0.3">
      <c r="A785" s="2" t="s">
        <v>852</v>
      </c>
      <c r="B785" s="2"/>
      <c r="C785" s="2"/>
      <c r="D785" s="2"/>
      <c r="E785" s="2"/>
      <c r="F785" s="2"/>
    </row>
    <row r="786" spans="1:6" x14ac:dyDescent="0.3">
      <c r="A786" s="2" t="s">
        <v>853</v>
      </c>
      <c r="B786" s="2"/>
      <c r="C786" s="2"/>
      <c r="D786" s="2"/>
      <c r="E786" s="2"/>
      <c r="F786" s="2"/>
    </row>
    <row r="787" spans="1:6" x14ac:dyDescent="0.3">
      <c r="A787" s="2" t="s">
        <v>854</v>
      </c>
      <c r="B787" s="2"/>
      <c r="C787" s="2"/>
      <c r="D787" s="2"/>
      <c r="E787" s="2"/>
      <c r="F787" s="2"/>
    </row>
    <row r="788" spans="1:6" x14ac:dyDescent="0.3">
      <c r="A788" s="2" t="s">
        <v>855</v>
      </c>
      <c r="B788" s="2"/>
      <c r="C788" s="2"/>
      <c r="D788" s="2"/>
      <c r="E788" s="2"/>
      <c r="F788" s="2"/>
    </row>
    <row r="789" spans="1:6" x14ac:dyDescent="0.3">
      <c r="A789" s="2" t="s">
        <v>856</v>
      </c>
      <c r="B789" s="2"/>
      <c r="C789" s="2"/>
      <c r="D789" s="2"/>
      <c r="E789" s="2"/>
      <c r="F789" s="2"/>
    </row>
    <row r="790" spans="1:6" x14ac:dyDescent="0.3">
      <c r="A790" s="2" t="s">
        <v>857</v>
      </c>
      <c r="B790" s="2"/>
      <c r="C790" s="2"/>
      <c r="D790" s="2"/>
      <c r="E790" s="2"/>
      <c r="F790" s="2"/>
    </row>
    <row r="791" spans="1:6" x14ac:dyDescent="0.3">
      <c r="A791" s="2" t="s">
        <v>858</v>
      </c>
      <c r="B791" s="2"/>
      <c r="C791" s="2"/>
      <c r="D791" s="2"/>
      <c r="E791" s="2"/>
      <c r="F791" s="2"/>
    </row>
    <row r="792" spans="1:6" x14ac:dyDescent="0.3">
      <c r="A792" s="2" t="s">
        <v>859</v>
      </c>
      <c r="B792" s="2"/>
      <c r="C792" s="2"/>
      <c r="D792" s="2"/>
      <c r="E792" s="2"/>
      <c r="F792" s="2"/>
    </row>
    <row r="793" spans="1:6" x14ac:dyDescent="0.3">
      <c r="A793" s="2" t="s">
        <v>860</v>
      </c>
      <c r="B793" s="2"/>
      <c r="C793" s="2"/>
      <c r="D793" s="2"/>
      <c r="E793" s="2"/>
      <c r="F793" s="2"/>
    </row>
    <row r="794" spans="1:6" x14ac:dyDescent="0.3">
      <c r="A794" s="2" t="s">
        <v>861</v>
      </c>
      <c r="B794" s="2"/>
      <c r="C794" s="2"/>
      <c r="D794" s="2"/>
      <c r="E794" s="2"/>
      <c r="F794" s="2"/>
    </row>
    <row r="795" spans="1:6" x14ac:dyDescent="0.3">
      <c r="A795" s="2" t="s">
        <v>862</v>
      </c>
      <c r="B795" s="2"/>
      <c r="C795" s="2"/>
      <c r="D795" s="2"/>
      <c r="E795" s="2"/>
      <c r="F795" s="2"/>
    </row>
    <row r="796" spans="1:6" x14ac:dyDescent="0.3">
      <c r="A796" s="2" t="s">
        <v>863</v>
      </c>
      <c r="B796" s="2"/>
      <c r="C796" s="2"/>
      <c r="D796" s="2"/>
      <c r="E796" s="2"/>
      <c r="F796" s="2"/>
    </row>
    <row r="797" spans="1:6" x14ac:dyDescent="0.3">
      <c r="A797" s="2" t="s">
        <v>864</v>
      </c>
      <c r="B797" s="2"/>
      <c r="C797" s="2"/>
      <c r="D797" s="2"/>
      <c r="E797" s="2"/>
      <c r="F797" s="2"/>
    </row>
    <row r="798" spans="1:6" x14ac:dyDescent="0.3">
      <c r="A798" s="2" t="s">
        <v>865</v>
      </c>
      <c r="B798" s="2"/>
      <c r="C798" s="2"/>
      <c r="D798" s="2"/>
      <c r="E798" s="2"/>
      <c r="F798" s="2"/>
    </row>
    <row r="799" spans="1:6" x14ac:dyDescent="0.3">
      <c r="A799" s="2" t="s">
        <v>866</v>
      </c>
      <c r="B799" s="2"/>
      <c r="C799" s="2"/>
      <c r="D799" s="2"/>
      <c r="E799" s="2"/>
      <c r="F799" s="2"/>
    </row>
    <row r="800" spans="1:6" x14ac:dyDescent="0.3">
      <c r="A800" s="2" t="s">
        <v>867</v>
      </c>
      <c r="B800" s="2"/>
      <c r="C800" s="2"/>
      <c r="D800" s="2"/>
      <c r="E800" s="2"/>
      <c r="F800" s="2"/>
    </row>
    <row r="801" spans="1:6" x14ac:dyDescent="0.3">
      <c r="A801" s="2" t="s">
        <v>868</v>
      </c>
      <c r="B801" s="2"/>
      <c r="C801" s="2"/>
      <c r="D801" s="2"/>
      <c r="E801" s="2"/>
      <c r="F801" s="2"/>
    </row>
    <row r="802" spans="1:6" x14ac:dyDescent="0.3">
      <c r="A802" s="2" t="s">
        <v>869</v>
      </c>
      <c r="B802" s="2"/>
      <c r="C802" s="2"/>
      <c r="D802" s="2"/>
      <c r="E802" s="2"/>
      <c r="F802" s="2"/>
    </row>
    <row r="803" spans="1:6" x14ac:dyDescent="0.3">
      <c r="A803" s="2" t="s">
        <v>870</v>
      </c>
      <c r="B803" s="2"/>
      <c r="C803" s="2"/>
      <c r="D803" s="2"/>
      <c r="E803" s="2"/>
      <c r="F803" s="2"/>
    </row>
    <row r="804" spans="1:6" x14ac:dyDescent="0.3">
      <c r="A804" s="2" t="s">
        <v>871</v>
      </c>
      <c r="B804" s="2"/>
      <c r="C804" s="2"/>
      <c r="D804" s="2"/>
      <c r="E804" s="2"/>
      <c r="F804" s="2"/>
    </row>
    <row r="805" spans="1:6" x14ac:dyDescent="0.3">
      <c r="A805" s="2" t="s">
        <v>872</v>
      </c>
      <c r="B805" s="2"/>
      <c r="C805" s="2"/>
      <c r="D805" s="2"/>
      <c r="E805" s="2"/>
      <c r="F805" s="2"/>
    </row>
    <row r="806" spans="1:6" x14ac:dyDescent="0.3">
      <c r="A806" s="2" t="s">
        <v>873</v>
      </c>
      <c r="B806" s="2"/>
      <c r="C806" s="2"/>
      <c r="D806" s="2"/>
      <c r="E806" s="2"/>
      <c r="F806" s="2"/>
    </row>
    <row r="807" spans="1:6" x14ac:dyDescent="0.3">
      <c r="A807" s="2" t="s">
        <v>874</v>
      </c>
      <c r="B807" s="2"/>
      <c r="C807" s="2"/>
      <c r="D807" s="2"/>
      <c r="E807" s="2"/>
      <c r="F807" s="2"/>
    </row>
    <row r="808" spans="1:6" x14ac:dyDescent="0.3">
      <c r="A808" s="2" t="s">
        <v>875</v>
      </c>
      <c r="B808" s="2"/>
      <c r="C808" s="2"/>
      <c r="D808" s="2"/>
      <c r="E808" s="2"/>
      <c r="F808" s="2"/>
    </row>
    <row r="809" spans="1:6" x14ac:dyDescent="0.3">
      <c r="A809" s="2" t="s">
        <v>876</v>
      </c>
      <c r="B809" s="2"/>
      <c r="C809" s="2"/>
      <c r="D809" s="2"/>
      <c r="E809" s="2"/>
      <c r="F809" s="2"/>
    </row>
    <row r="810" spans="1:6" x14ac:dyDescent="0.3">
      <c r="A810" s="2" t="s">
        <v>877</v>
      </c>
      <c r="B810" s="2"/>
      <c r="C810" s="2"/>
      <c r="D810" s="2"/>
      <c r="E810" s="2"/>
      <c r="F810" s="2"/>
    </row>
    <row r="811" spans="1:6" x14ac:dyDescent="0.3">
      <c r="A811" s="2" t="s">
        <v>878</v>
      </c>
      <c r="B811" s="2"/>
      <c r="C811" s="2"/>
      <c r="D811" s="2"/>
      <c r="E811" s="2"/>
      <c r="F811" s="2"/>
    </row>
    <row r="812" spans="1:6" x14ac:dyDescent="0.3">
      <c r="A812" s="2" t="s">
        <v>879</v>
      </c>
      <c r="B812" s="2"/>
      <c r="C812" s="2"/>
      <c r="D812" s="2"/>
      <c r="E812" s="2"/>
      <c r="F812" s="2"/>
    </row>
    <row r="813" spans="1:6" x14ac:dyDescent="0.3">
      <c r="A813" s="2" t="s">
        <v>880</v>
      </c>
      <c r="B813" s="2"/>
      <c r="C813" s="2"/>
      <c r="D813" s="2"/>
      <c r="E813" s="2"/>
      <c r="F813" s="2"/>
    </row>
    <row r="814" spans="1:6" x14ac:dyDescent="0.3">
      <c r="A814" s="2" t="s">
        <v>881</v>
      </c>
      <c r="B814" s="2"/>
      <c r="C814" s="2"/>
      <c r="D814" s="2"/>
      <c r="E814" s="2"/>
      <c r="F814" s="2"/>
    </row>
    <row r="815" spans="1:6" x14ac:dyDescent="0.3">
      <c r="A815" s="2" t="s">
        <v>882</v>
      </c>
      <c r="B815" s="2"/>
      <c r="C815" s="2"/>
      <c r="D815" s="2"/>
      <c r="E815" s="2"/>
      <c r="F815" s="2"/>
    </row>
    <row r="816" spans="1:6" x14ac:dyDescent="0.3">
      <c r="A816" s="2" t="s">
        <v>883</v>
      </c>
      <c r="B816" s="2"/>
      <c r="C816" s="2"/>
      <c r="D816" s="2"/>
      <c r="E816" s="2"/>
      <c r="F816" s="2"/>
    </row>
    <row r="817" spans="1:6" x14ac:dyDescent="0.3">
      <c r="A817" s="2" t="s">
        <v>884</v>
      </c>
      <c r="B817" s="2"/>
      <c r="C817" s="2"/>
      <c r="D817" s="2"/>
      <c r="E817" s="2"/>
      <c r="F817" s="2"/>
    </row>
    <row r="818" spans="1:6" x14ac:dyDescent="0.3">
      <c r="A818" s="2" t="s">
        <v>885</v>
      </c>
      <c r="B818" s="2"/>
      <c r="C818" s="2"/>
      <c r="D818" s="2"/>
      <c r="E818" s="2"/>
      <c r="F818" s="2"/>
    </row>
    <row r="819" spans="1:6" x14ac:dyDescent="0.3">
      <c r="A819" s="2" t="s">
        <v>886</v>
      </c>
      <c r="B819" s="2"/>
      <c r="C819" s="2"/>
      <c r="D819" s="2"/>
      <c r="E819" s="2"/>
      <c r="F819" s="2"/>
    </row>
    <row r="820" spans="1:6" x14ac:dyDescent="0.3">
      <c r="A820" s="2" t="s">
        <v>887</v>
      </c>
      <c r="B820" s="2"/>
      <c r="C820" s="2"/>
      <c r="D820" s="2"/>
      <c r="E820" s="2"/>
      <c r="F820" s="2"/>
    </row>
    <row r="821" spans="1:6" x14ac:dyDescent="0.3">
      <c r="A821" s="2" t="s">
        <v>888</v>
      </c>
      <c r="B821" s="2"/>
      <c r="C821" s="2"/>
      <c r="D821" s="2"/>
      <c r="E821" s="2"/>
      <c r="F821" s="2"/>
    </row>
    <row r="822" spans="1:6" x14ac:dyDescent="0.3">
      <c r="A822" s="2" t="s">
        <v>889</v>
      </c>
      <c r="B822" s="2"/>
      <c r="C822" s="2"/>
      <c r="D822" s="2"/>
      <c r="E822" s="2"/>
      <c r="F822" s="2"/>
    </row>
    <row r="823" spans="1:6" x14ac:dyDescent="0.3">
      <c r="A823" s="2" t="s">
        <v>890</v>
      </c>
      <c r="B823" s="2"/>
      <c r="C823" s="2"/>
      <c r="D823" s="2"/>
      <c r="E823" s="2"/>
      <c r="F823" s="2"/>
    </row>
    <row r="824" spans="1:6" x14ac:dyDescent="0.3">
      <c r="A824" s="2" t="s">
        <v>891</v>
      </c>
      <c r="B824" s="2"/>
      <c r="C824" s="2"/>
      <c r="D824" s="2"/>
      <c r="E824" s="2"/>
      <c r="F824" s="2"/>
    </row>
    <row r="825" spans="1:6" x14ac:dyDescent="0.3">
      <c r="A825" s="2" t="s">
        <v>892</v>
      </c>
      <c r="B825" s="2"/>
      <c r="C825" s="2"/>
      <c r="D825" s="2"/>
      <c r="E825" s="2"/>
      <c r="F825" s="2"/>
    </row>
    <row r="826" spans="1:6" x14ac:dyDescent="0.3">
      <c r="A826" s="2" t="s">
        <v>893</v>
      </c>
      <c r="B826" s="2"/>
      <c r="C826" s="2"/>
      <c r="D826" s="2"/>
      <c r="E826" s="2"/>
      <c r="F826" s="2"/>
    </row>
    <row r="827" spans="1:6" x14ac:dyDescent="0.3">
      <c r="A827" s="2" t="s">
        <v>894</v>
      </c>
      <c r="B827" s="2"/>
      <c r="C827" s="2"/>
      <c r="D827" s="2"/>
      <c r="E827" s="2"/>
      <c r="F827" s="2"/>
    </row>
    <row r="828" spans="1:6" x14ac:dyDescent="0.3">
      <c r="A828" s="2" t="s">
        <v>895</v>
      </c>
      <c r="B828" s="2"/>
      <c r="C828" s="2"/>
      <c r="D828" s="2"/>
      <c r="E828" s="2"/>
      <c r="F828" s="2"/>
    </row>
    <row r="829" spans="1:6" x14ac:dyDescent="0.3">
      <c r="A829" s="2" t="s">
        <v>896</v>
      </c>
      <c r="B829" s="2"/>
      <c r="C829" s="2"/>
      <c r="D829" s="2"/>
      <c r="E829" s="2"/>
      <c r="F829" s="2"/>
    </row>
    <row r="830" spans="1:6" x14ac:dyDescent="0.3">
      <c r="A830" s="2" t="s">
        <v>897</v>
      </c>
      <c r="B830" s="2"/>
      <c r="C830" s="2"/>
      <c r="D830" s="2"/>
      <c r="E830" s="2"/>
      <c r="F830" s="2"/>
    </row>
    <row r="831" spans="1:6" x14ac:dyDescent="0.3">
      <c r="A831" s="2" t="s">
        <v>898</v>
      </c>
      <c r="B831" s="2"/>
      <c r="C831" s="2"/>
      <c r="D831" s="2"/>
      <c r="E831" s="2"/>
      <c r="F831" s="2"/>
    </row>
    <row r="832" spans="1:6" x14ac:dyDescent="0.3">
      <c r="A832" s="2" t="s">
        <v>899</v>
      </c>
      <c r="B832" s="2"/>
      <c r="C832" s="2"/>
      <c r="D832" s="2"/>
      <c r="E832" s="2"/>
      <c r="F832" s="2"/>
    </row>
    <row r="833" spans="1:6" x14ac:dyDescent="0.3">
      <c r="A833" s="2" t="s">
        <v>900</v>
      </c>
      <c r="B833" s="2"/>
      <c r="C833" s="2"/>
      <c r="D833" s="2"/>
      <c r="E833" s="2"/>
      <c r="F833" s="2"/>
    </row>
    <row r="834" spans="1:6" x14ac:dyDescent="0.3">
      <c r="A834" s="2" t="s">
        <v>901</v>
      </c>
      <c r="B834" s="2"/>
      <c r="C834" s="2"/>
      <c r="D834" s="2"/>
      <c r="E834" s="2"/>
      <c r="F834" s="2"/>
    </row>
    <row r="835" spans="1:6" x14ac:dyDescent="0.3">
      <c r="A835" s="2" t="s">
        <v>902</v>
      </c>
      <c r="B835" s="2"/>
      <c r="C835" s="2"/>
      <c r="D835" s="2"/>
      <c r="E835" s="2"/>
      <c r="F835" s="2"/>
    </row>
    <row r="836" spans="1:6" x14ac:dyDescent="0.3">
      <c r="A836" s="2" t="s">
        <v>903</v>
      </c>
      <c r="B836" s="2"/>
      <c r="C836" s="2"/>
      <c r="D836" s="2"/>
      <c r="E836" s="2"/>
      <c r="F836" s="2"/>
    </row>
    <row r="837" spans="1:6" x14ac:dyDescent="0.3">
      <c r="A837" s="2" t="s">
        <v>904</v>
      </c>
      <c r="B837" s="2"/>
      <c r="C837" s="2"/>
      <c r="D837" s="2"/>
      <c r="E837" s="2"/>
      <c r="F837" s="2"/>
    </row>
    <row r="838" spans="1:6" x14ac:dyDescent="0.3">
      <c r="A838" s="2" t="s">
        <v>905</v>
      </c>
      <c r="B838" s="2"/>
      <c r="C838" s="2"/>
      <c r="D838" s="2"/>
      <c r="E838" s="2"/>
      <c r="F838" s="2"/>
    </row>
    <row r="839" spans="1:6" x14ac:dyDescent="0.3">
      <c r="A839" s="2" t="s">
        <v>906</v>
      </c>
      <c r="B839" s="2"/>
      <c r="C839" s="2"/>
      <c r="D839" s="2"/>
      <c r="E839" s="2"/>
      <c r="F839" s="2"/>
    </row>
    <row r="840" spans="1:6" x14ac:dyDescent="0.3">
      <c r="A840" s="2" t="s">
        <v>907</v>
      </c>
      <c r="B840" s="2"/>
      <c r="C840" s="2"/>
      <c r="D840" s="2"/>
      <c r="E840" s="2"/>
      <c r="F840" s="2"/>
    </row>
    <row r="841" spans="1:6" x14ac:dyDescent="0.3">
      <c r="A841" s="2" t="s">
        <v>908</v>
      </c>
      <c r="B841" s="2"/>
      <c r="C841" s="2"/>
      <c r="D841" s="2"/>
      <c r="E841" s="2"/>
      <c r="F841" s="2"/>
    </row>
    <row r="842" spans="1:6" x14ac:dyDescent="0.3">
      <c r="A842" s="2" t="s">
        <v>909</v>
      </c>
      <c r="B842" s="2"/>
      <c r="C842" s="2"/>
      <c r="D842" s="2"/>
      <c r="E842" s="2"/>
      <c r="F842" s="2"/>
    </row>
    <row r="843" spans="1:6" x14ac:dyDescent="0.3">
      <c r="A843" s="2" t="s">
        <v>910</v>
      </c>
      <c r="B843" s="2"/>
      <c r="C843" s="2"/>
      <c r="D843" s="2"/>
      <c r="E843" s="2"/>
      <c r="F843" s="2"/>
    </row>
    <row r="844" spans="1:6" x14ac:dyDescent="0.3">
      <c r="A844" s="2" t="s">
        <v>911</v>
      </c>
      <c r="B844" s="2"/>
      <c r="C844" s="2"/>
      <c r="D844" s="2"/>
      <c r="E844" s="2"/>
      <c r="F844" s="2"/>
    </row>
    <row r="845" spans="1:6" x14ac:dyDescent="0.3">
      <c r="A845" s="2" t="s">
        <v>912</v>
      </c>
      <c r="B845" s="2"/>
      <c r="C845" s="2"/>
      <c r="D845" s="2"/>
      <c r="E845" s="2"/>
      <c r="F845" s="2"/>
    </row>
    <row r="846" spans="1:6" x14ac:dyDescent="0.3">
      <c r="A846" s="2" t="s">
        <v>913</v>
      </c>
      <c r="B846" s="2"/>
      <c r="C846" s="2"/>
      <c r="D846" s="2"/>
      <c r="E846" s="2"/>
      <c r="F846" s="2"/>
    </row>
    <row r="847" spans="1:6" x14ac:dyDescent="0.3">
      <c r="A847" s="2" t="s">
        <v>914</v>
      </c>
      <c r="B847" s="2"/>
      <c r="C847" s="2"/>
      <c r="D847" s="2"/>
      <c r="E847" s="2"/>
      <c r="F847" s="2"/>
    </row>
    <row r="848" spans="1:6" x14ac:dyDescent="0.3">
      <c r="A848" s="2" t="s">
        <v>915</v>
      </c>
      <c r="B848" s="2"/>
      <c r="C848" s="2"/>
      <c r="D848" s="2"/>
      <c r="E848" s="2"/>
      <c r="F848" s="2"/>
    </row>
    <row r="849" spans="1:6" x14ac:dyDescent="0.3">
      <c r="A849" s="2" t="s">
        <v>916</v>
      </c>
      <c r="B849" s="2"/>
      <c r="C849" s="2"/>
      <c r="D849" s="2"/>
      <c r="E849" s="2"/>
      <c r="F849" s="2"/>
    </row>
    <row r="850" spans="1:6" x14ac:dyDescent="0.3">
      <c r="A850" s="2" t="s">
        <v>917</v>
      </c>
      <c r="B850" s="2"/>
      <c r="C850" s="2"/>
      <c r="D850" s="2"/>
      <c r="E850" s="2"/>
      <c r="F850" s="2"/>
    </row>
    <row r="851" spans="1:6" x14ac:dyDescent="0.3">
      <c r="A851" s="2" t="s">
        <v>918</v>
      </c>
      <c r="B851" s="2"/>
      <c r="C851" s="2"/>
      <c r="D851" s="2"/>
      <c r="E851" s="2"/>
      <c r="F851" s="2"/>
    </row>
    <row r="852" spans="1:6" x14ac:dyDescent="0.3">
      <c r="A852" s="2" t="s">
        <v>919</v>
      </c>
      <c r="B852" s="2"/>
      <c r="C852" s="2"/>
      <c r="D852" s="2"/>
      <c r="E852" s="2"/>
      <c r="F852" s="2"/>
    </row>
    <row r="853" spans="1:6" x14ac:dyDescent="0.3">
      <c r="A853" s="2" t="s">
        <v>920</v>
      </c>
      <c r="B853" s="2"/>
      <c r="C853" s="2"/>
      <c r="D853" s="2"/>
      <c r="E853" s="2"/>
      <c r="F853" s="2"/>
    </row>
    <row r="854" spans="1:6" x14ac:dyDescent="0.3">
      <c r="A854" s="2" t="s">
        <v>921</v>
      </c>
      <c r="B854" s="2"/>
      <c r="C854" s="2"/>
      <c r="D854" s="2"/>
      <c r="E854" s="2"/>
      <c r="F854" s="2"/>
    </row>
    <row r="855" spans="1:6" x14ac:dyDescent="0.3">
      <c r="A855" s="2" t="s">
        <v>922</v>
      </c>
      <c r="B855" s="2"/>
      <c r="C855" s="2"/>
      <c r="D855" s="2"/>
      <c r="E855" s="2"/>
      <c r="F855" s="2"/>
    </row>
    <row r="856" spans="1:6" x14ac:dyDescent="0.3">
      <c r="A856" s="2" t="s">
        <v>923</v>
      </c>
      <c r="B856" s="2"/>
      <c r="C856" s="2"/>
      <c r="D856" s="2"/>
      <c r="E856" s="2"/>
      <c r="F856" s="2"/>
    </row>
    <row r="857" spans="1:6" x14ac:dyDescent="0.3">
      <c r="A857" s="2" t="s">
        <v>924</v>
      </c>
      <c r="B857" s="2"/>
      <c r="C857" s="2"/>
      <c r="D857" s="2"/>
      <c r="E857" s="2"/>
      <c r="F857" s="2"/>
    </row>
    <row r="858" spans="1:6" x14ac:dyDescent="0.3">
      <c r="A858" s="2" t="s">
        <v>925</v>
      </c>
      <c r="B858" s="2"/>
      <c r="C858" s="2"/>
      <c r="D858" s="2"/>
      <c r="E858" s="2"/>
      <c r="F858" s="2"/>
    </row>
    <row r="859" spans="1:6" x14ac:dyDescent="0.3">
      <c r="A859" s="2" t="s">
        <v>926</v>
      </c>
      <c r="B859" s="2"/>
      <c r="C859" s="2"/>
      <c r="D859" s="2"/>
      <c r="E859" s="2"/>
      <c r="F859" s="2"/>
    </row>
    <row r="860" spans="1:6" x14ac:dyDescent="0.3">
      <c r="A860" s="2" t="s">
        <v>927</v>
      </c>
      <c r="B860" s="2"/>
      <c r="C860" s="2"/>
      <c r="D860" s="2"/>
      <c r="E860" s="2"/>
      <c r="F860" s="2"/>
    </row>
    <row r="861" spans="1:6" x14ac:dyDescent="0.3">
      <c r="A861" s="2" t="s">
        <v>928</v>
      </c>
      <c r="B861" s="2"/>
      <c r="C861" s="2"/>
      <c r="D861" s="2"/>
      <c r="E861" s="2"/>
      <c r="F861" s="2"/>
    </row>
    <row r="862" spans="1:6" x14ac:dyDescent="0.3">
      <c r="A862" s="2" t="s">
        <v>929</v>
      </c>
      <c r="B862" s="2"/>
      <c r="C862" s="2"/>
      <c r="D862" s="2"/>
      <c r="E862" s="2"/>
      <c r="F862" s="2"/>
    </row>
    <row r="863" spans="1:6" x14ac:dyDescent="0.3">
      <c r="A863" s="2" t="s">
        <v>930</v>
      </c>
      <c r="B863" s="2"/>
      <c r="C863" s="2"/>
      <c r="D863" s="2"/>
      <c r="E863" s="2"/>
      <c r="F863" s="2"/>
    </row>
    <row r="864" spans="1:6" x14ac:dyDescent="0.3">
      <c r="A864" s="2" t="s">
        <v>931</v>
      </c>
      <c r="B864" s="2"/>
      <c r="C864" s="2"/>
      <c r="D864" s="2"/>
      <c r="E864" s="2"/>
      <c r="F864" s="2"/>
    </row>
    <row r="865" spans="1:6" x14ac:dyDescent="0.3">
      <c r="A865" s="2" t="s">
        <v>932</v>
      </c>
      <c r="B865" s="2"/>
      <c r="C865" s="2"/>
      <c r="D865" s="2"/>
      <c r="E865" s="2"/>
      <c r="F865" s="2"/>
    </row>
    <row r="866" spans="1:6" x14ac:dyDescent="0.3">
      <c r="A866" s="2" t="s">
        <v>933</v>
      </c>
      <c r="B866" s="2"/>
      <c r="C866" s="2"/>
      <c r="D866" s="2"/>
      <c r="E866" s="2"/>
      <c r="F866" s="2"/>
    </row>
    <row r="867" spans="1:6" x14ac:dyDescent="0.3">
      <c r="A867" s="2" t="s">
        <v>934</v>
      </c>
      <c r="B867" s="2"/>
      <c r="C867" s="2"/>
      <c r="D867" s="2"/>
      <c r="E867" s="2"/>
      <c r="F867" s="2"/>
    </row>
    <row r="868" spans="1:6" x14ac:dyDescent="0.3">
      <c r="A868" s="2" t="s">
        <v>935</v>
      </c>
      <c r="B868" s="2"/>
      <c r="C868" s="2"/>
      <c r="D868" s="2"/>
      <c r="E868" s="2"/>
      <c r="F868" s="2"/>
    </row>
    <row r="869" spans="1:6" x14ac:dyDescent="0.3">
      <c r="A869" s="2" t="s">
        <v>936</v>
      </c>
      <c r="B869" s="2"/>
      <c r="C869" s="2"/>
      <c r="D869" s="2"/>
      <c r="E869" s="2"/>
      <c r="F869" s="2"/>
    </row>
    <row r="870" spans="1:6" x14ac:dyDescent="0.3">
      <c r="A870" s="2" t="s">
        <v>937</v>
      </c>
      <c r="B870" s="2"/>
      <c r="C870" s="2"/>
      <c r="D870" s="2"/>
      <c r="E870" s="2"/>
      <c r="F870" s="2"/>
    </row>
    <row r="871" spans="1:6" x14ac:dyDescent="0.3">
      <c r="A871" s="2" t="s">
        <v>938</v>
      </c>
      <c r="B871" s="2"/>
      <c r="C871" s="2"/>
      <c r="D871" s="2"/>
      <c r="E871" s="2"/>
      <c r="F871" s="2"/>
    </row>
    <row r="872" spans="1:6" x14ac:dyDescent="0.3">
      <c r="A872" s="2" t="s">
        <v>939</v>
      </c>
      <c r="B872" s="2"/>
      <c r="C872" s="2"/>
      <c r="D872" s="2"/>
      <c r="E872" s="2"/>
      <c r="F872" s="2"/>
    </row>
    <row r="873" spans="1:6" x14ac:dyDescent="0.3">
      <c r="A873" s="2" t="s">
        <v>940</v>
      </c>
      <c r="B873" s="2"/>
      <c r="C873" s="2"/>
      <c r="D873" s="2"/>
      <c r="E873" s="2"/>
      <c r="F873" s="2"/>
    </row>
    <row r="874" spans="1:6" x14ac:dyDescent="0.3">
      <c r="A874" s="2" t="s">
        <v>941</v>
      </c>
      <c r="B874" s="2"/>
      <c r="C874" s="2"/>
      <c r="D874" s="2"/>
      <c r="E874" s="2"/>
      <c r="F874" s="2"/>
    </row>
    <row r="875" spans="1:6" x14ac:dyDescent="0.3">
      <c r="A875" s="2" t="s">
        <v>942</v>
      </c>
      <c r="B875" s="2"/>
      <c r="C875" s="2"/>
      <c r="D875" s="2"/>
      <c r="E875" s="2"/>
      <c r="F875" s="2"/>
    </row>
    <row r="876" spans="1:6" x14ac:dyDescent="0.3">
      <c r="A876" s="2" t="s">
        <v>943</v>
      </c>
      <c r="B876" s="2"/>
      <c r="C876" s="2"/>
      <c r="D876" s="2"/>
      <c r="E876" s="2"/>
      <c r="F876" s="2"/>
    </row>
    <row r="877" spans="1:6" x14ac:dyDescent="0.3">
      <c r="A877" s="2" t="s">
        <v>944</v>
      </c>
      <c r="B877" s="2"/>
      <c r="C877" s="2"/>
      <c r="D877" s="2"/>
      <c r="E877" s="2"/>
      <c r="F877" s="2"/>
    </row>
    <row r="878" spans="1:6" x14ac:dyDescent="0.3">
      <c r="A878" s="2" t="s">
        <v>945</v>
      </c>
      <c r="B878" s="2"/>
      <c r="C878" s="2"/>
      <c r="D878" s="2"/>
      <c r="E878" s="2"/>
      <c r="F878" s="2"/>
    </row>
    <row r="879" spans="1:6" x14ac:dyDescent="0.3">
      <c r="A879" s="2" t="s">
        <v>946</v>
      </c>
      <c r="B879" s="2"/>
      <c r="C879" s="2"/>
      <c r="D879" s="2"/>
      <c r="E879" s="2"/>
      <c r="F879" s="2"/>
    </row>
    <row r="880" spans="1:6" x14ac:dyDescent="0.3">
      <c r="A880" s="2" t="s">
        <v>947</v>
      </c>
      <c r="B880" s="2"/>
      <c r="C880" s="2"/>
      <c r="D880" s="2"/>
      <c r="E880" s="2"/>
      <c r="F880" s="2"/>
    </row>
    <row r="881" spans="1:6" x14ac:dyDescent="0.3">
      <c r="A881" s="2" t="s">
        <v>948</v>
      </c>
      <c r="B881" s="2"/>
      <c r="C881" s="2"/>
      <c r="D881" s="2"/>
      <c r="E881" s="2"/>
      <c r="F881" s="2"/>
    </row>
    <row r="882" spans="1:6" x14ac:dyDescent="0.3">
      <c r="A882" s="2" t="s">
        <v>949</v>
      </c>
      <c r="B882" s="2"/>
      <c r="C882" s="2"/>
      <c r="D882" s="2"/>
      <c r="E882" s="2"/>
      <c r="F882" s="2"/>
    </row>
    <row r="883" spans="1:6" x14ac:dyDescent="0.3">
      <c r="A883" s="2" t="s">
        <v>950</v>
      </c>
      <c r="B883" s="2"/>
      <c r="C883" s="2"/>
      <c r="D883" s="2"/>
      <c r="E883" s="2"/>
      <c r="F883" s="2"/>
    </row>
    <row r="884" spans="1:6" x14ac:dyDescent="0.3">
      <c r="A884" s="2" t="s">
        <v>951</v>
      </c>
      <c r="B884" s="2"/>
      <c r="C884" s="2"/>
      <c r="D884" s="2"/>
      <c r="E884" s="2"/>
      <c r="F884" s="2"/>
    </row>
    <row r="885" spans="1:6" x14ac:dyDescent="0.3">
      <c r="A885" s="2" t="s">
        <v>952</v>
      </c>
      <c r="B885" s="2"/>
      <c r="C885" s="2"/>
      <c r="D885" s="2"/>
      <c r="E885" s="2"/>
      <c r="F885" s="2"/>
    </row>
    <row r="886" spans="1:6" x14ac:dyDescent="0.3">
      <c r="A886" s="2" t="s">
        <v>953</v>
      </c>
      <c r="B886" s="2"/>
      <c r="C886" s="2"/>
      <c r="D886" s="2"/>
      <c r="E886" s="2"/>
      <c r="F886" s="2"/>
    </row>
    <row r="887" spans="1:6" x14ac:dyDescent="0.3">
      <c r="A887" s="2" t="s">
        <v>954</v>
      </c>
      <c r="B887" s="2"/>
      <c r="C887" s="2"/>
      <c r="D887" s="2"/>
      <c r="E887" s="2"/>
      <c r="F887" s="2"/>
    </row>
    <row r="888" spans="1:6" x14ac:dyDescent="0.3">
      <c r="A888" s="2" t="s">
        <v>955</v>
      </c>
      <c r="B888" s="2"/>
      <c r="C888" s="2"/>
      <c r="D888" s="2"/>
      <c r="E888" s="2"/>
      <c r="F888" s="2"/>
    </row>
    <row r="889" spans="1:6" x14ac:dyDescent="0.3">
      <c r="A889" s="2" t="s">
        <v>956</v>
      </c>
      <c r="B889" s="2"/>
      <c r="C889" s="2"/>
      <c r="D889" s="2"/>
      <c r="E889" s="2"/>
      <c r="F889" s="2"/>
    </row>
    <row r="890" spans="1:6" x14ac:dyDescent="0.3">
      <c r="A890" s="2" t="s">
        <v>957</v>
      </c>
      <c r="B890" s="2"/>
      <c r="C890" s="2"/>
      <c r="D890" s="2"/>
      <c r="E890" s="2"/>
      <c r="F890" s="2"/>
    </row>
    <row r="891" spans="1:6" x14ac:dyDescent="0.3">
      <c r="A891" s="2" t="s">
        <v>958</v>
      </c>
      <c r="B891" s="2"/>
      <c r="C891" s="2"/>
      <c r="D891" s="2"/>
      <c r="E891" s="2"/>
      <c r="F891" s="2"/>
    </row>
    <row r="892" spans="1:6" x14ac:dyDescent="0.3">
      <c r="A892" s="2" t="s">
        <v>959</v>
      </c>
      <c r="B892" s="2"/>
      <c r="C892" s="2"/>
      <c r="D892" s="2"/>
      <c r="E892" s="2"/>
      <c r="F892" s="2"/>
    </row>
    <row r="893" spans="1:6" x14ac:dyDescent="0.3">
      <c r="A893" s="2" t="s">
        <v>960</v>
      </c>
      <c r="B893" s="2"/>
      <c r="C893" s="2"/>
      <c r="D893" s="2"/>
      <c r="E893" s="2"/>
      <c r="F893" s="2"/>
    </row>
    <row r="894" spans="1:6" x14ac:dyDescent="0.3">
      <c r="A894" s="2" t="s">
        <v>961</v>
      </c>
      <c r="B894" s="2"/>
      <c r="C894" s="2"/>
      <c r="D894" s="2"/>
      <c r="E894" s="2"/>
      <c r="F894" s="2"/>
    </row>
    <row r="895" spans="1:6" x14ac:dyDescent="0.3">
      <c r="A895" s="2" t="s">
        <v>962</v>
      </c>
      <c r="B895" s="2"/>
      <c r="C895" s="2"/>
      <c r="D895" s="2"/>
      <c r="E895" s="2"/>
      <c r="F895" s="2"/>
    </row>
    <row r="896" spans="1:6" x14ac:dyDescent="0.3">
      <c r="A896" s="2" t="s">
        <v>963</v>
      </c>
      <c r="B896" s="2"/>
      <c r="C896" s="2"/>
      <c r="D896" s="2"/>
      <c r="E896" s="2"/>
      <c r="F896" s="2"/>
    </row>
    <row r="897" spans="1:6" x14ac:dyDescent="0.3">
      <c r="A897" s="2" t="s">
        <v>964</v>
      </c>
      <c r="B897" s="2"/>
      <c r="C897" s="2"/>
      <c r="D897" s="2"/>
      <c r="E897" s="2"/>
      <c r="F897" s="2"/>
    </row>
    <row r="898" spans="1:6" x14ac:dyDescent="0.3">
      <c r="A898" s="2" t="s">
        <v>965</v>
      </c>
      <c r="B898" s="2"/>
      <c r="C898" s="2"/>
      <c r="D898" s="2"/>
      <c r="E898" s="2"/>
      <c r="F898" s="2"/>
    </row>
    <row r="899" spans="1:6" x14ac:dyDescent="0.3">
      <c r="A899" s="2" t="s">
        <v>966</v>
      </c>
      <c r="B899" s="2"/>
      <c r="C899" s="2"/>
      <c r="D899" s="2"/>
      <c r="E899" s="2"/>
      <c r="F899" s="2"/>
    </row>
    <row r="900" spans="1:6" x14ac:dyDescent="0.3">
      <c r="A900" s="2" t="s">
        <v>967</v>
      </c>
      <c r="B900" s="2"/>
      <c r="C900" s="2"/>
      <c r="D900" s="2"/>
      <c r="E900" s="2"/>
      <c r="F900" s="2"/>
    </row>
    <row r="901" spans="1:6" x14ac:dyDescent="0.3">
      <c r="A901" s="2" t="s">
        <v>968</v>
      </c>
      <c r="B901" s="2"/>
      <c r="C901" s="2"/>
      <c r="D901" s="2"/>
      <c r="E901" s="2"/>
      <c r="F901" s="2"/>
    </row>
    <row r="902" spans="1:6" x14ac:dyDescent="0.3">
      <c r="A902" s="2" t="s">
        <v>969</v>
      </c>
      <c r="B902" s="2"/>
      <c r="C902" s="2"/>
      <c r="D902" s="2"/>
      <c r="E902" s="2"/>
      <c r="F902" s="2"/>
    </row>
    <row r="903" spans="1:6" x14ac:dyDescent="0.3">
      <c r="A903" s="2" t="s">
        <v>970</v>
      </c>
      <c r="B903" s="2"/>
      <c r="C903" s="2"/>
      <c r="D903" s="2"/>
      <c r="E903" s="2"/>
      <c r="F903" s="2"/>
    </row>
    <row r="904" spans="1:6" x14ac:dyDescent="0.3">
      <c r="A904" s="2" t="s">
        <v>971</v>
      </c>
      <c r="B904" s="2"/>
      <c r="C904" s="2"/>
      <c r="D904" s="2"/>
      <c r="E904" s="2"/>
      <c r="F904" s="2"/>
    </row>
    <row r="905" spans="1:6" x14ac:dyDescent="0.3">
      <c r="A905" s="2" t="s">
        <v>972</v>
      </c>
      <c r="B905" s="2"/>
      <c r="C905" s="2"/>
      <c r="D905" s="2"/>
      <c r="E905" s="2"/>
      <c r="F905" s="2"/>
    </row>
    <row r="906" spans="1:6" x14ac:dyDescent="0.3">
      <c r="A906" s="2" t="s">
        <v>973</v>
      </c>
      <c r="B906" s="2"/>
      <c r="C906" s="2"/>
      <c r="D906" s="2"/>
      <c r="E906" s="2"/>
      <c r="F906" s="2"/>
    </row>
    <row r="907" spans="1:6" x14ac:dyDescent="0.3">
      <c r="A907" s="2" t="s">
        <v>974</v>
      </c>
      <c r="B907" s="2"/>
      <c r="C907" s="2"/>
      <c r="D907" s="2"/>
      <c r="E907" s="2"/>
      <c r="F907" s="2"/>
    </row>
    <row r="908" spans="1:6" x14ac:dyDescent="0.3">
      <c r="A908" s="2" t="s">
        <v>975</v>
      </c>
      <c r="B908" s="2"/>
      <c r="C908" s="2"/>
      <c r="D908" s="2"/>
      <c r="E908" s="2"/>
      <c r="F908" s="2"/>
    </row>
    <row r="909" spans="1:6" x14ac:dyDescent="0.3">
      <c r="A909" s="2" t="s">
        <v>976</v>
      </c>
      <c r="B909" s="2"/>
      <c r="C909" s="2"/>
      <c r="D909" s="2"/>
      <c r="E909" s="2"/>
      <c r="F909" s="2"/>
    </row>
    <row r="910" spans="1:6" x14ac:dyDescent="0.3">
      <c r="A910" s="2" t="s">
        <v>977</v>
      </c>
      <c r="B910" s="2"/>
      <c r="C910" s="2"/>
      <c r="D910" s="2"/>
      <c r="E910" s="2"/>
      <c r="F910" s="2"/>
    </row>
    <row r="911" spans="1:6" x14ac:dyDescent="0.3">
      <c r="A911" s="2" t="s">
        <v>978</v>
      </c>
      <c r="B911" s="2"/>
      <c r="C911" s="2"/>
      <c r="D911" s="2"/>
      <c r="E911" s="2"/>
      <c r="F911" s="2"/>
    </row>
    <row r="912" spans="1:6" x14ac:dyDescent="0.3">
      <c r="A912" s="2" t="s">
        <v>979</v>
      </c>
      <c r="B912" s="2"/>
      <c r="C912" s="2"/>
      <c r="D912" s="2"/>
      <c r="E912" s="2"/>
      <c r="F912" s="2"/>
    </row>
    <row r="913" spans="1:6" x14ac:dyDescent="0.3">
      <c r="A913" s="2" t="s">
        <v>980</v>
      </c>
      <c r="B913" s="2"/>
      <c r="C913" s="2"/>
      <c r="D913" s="2"/>
      <c r="E913" s="2"/>
      <c r="F913" s="2"/>
    </row>
    <row r="914" spans="1:6" x14ac:dyDescent="0.3">
      <c r="A914" s="2" t="s">
        <v>981</v>
      </c>
      <c r="B914" s="2"/>
      <c r="C914" s="2"/>
      <c r="D914" s="2"/>
      <c r="E914" s="2"/>
      <c r="F914" s="2"/>
    </row>
    <row r="915" spans="1:6" x14ac:dyDescent="0.3">
      <c r="A915" s="2" t="s">
        <v>982</v>
      </c>
      <c r="B915" s="2"/>
      <c r="C915" s="2"/>
      <c r="D915" s="2"/>
      <c r="E915" s="2"/>
      <c r="F915" s="2"/>
    </row>
    <row r="916" spans="1:6" x14ac:dyDescent="0.3">
      <c r="A916" s="2" t="s">
        <v>983</v>
      </c>
      <c r="B916" s="2"/>
      <c r="C916" s="2"/>
      <c r="D916" s="2"/>
      <c r="E916" s="2"/>
      <c r="F916" s="2"/>
    </row>
    <row r="917" spans="1:6" x14ac:dyDescent="0.3">
      <c r="A917" s="2" t="s">
        <v>984</v>
      </c>
      <c r="B917" s="2"/>
      <c r="C917" s="2"/>
      <c r="D917" s="2"/>
      <c r="E917" s="2"/>
      <c r="F917" s="2"/>
    </row>
    <row r="918" spans="1:6" x14ac:dyDescent="0.3">
      <c r="A918" s="2" t="s">
        <v>985</v>
      </c>
      <c r="B918" s="2"/>
      <c r="C918" s="2"/>
      <c r="D918" s="2"/>
      <c r="E918" s="2"/>
      <c r="F918" s="2"/>
    </row>
    <row r="919" spans="1:6" x14ac:dyDescent="0.3">
      <c r="A919" s="2" t="s">
        <v>986</v>
      </c>
      <c r="B919" s="2"/>
      <c r="C919" s="2"/>
      <c r="D919" s="2"/>
      <c r="E919" s="2"/>
      <c r="F919" s="2"/>
    </row>
    <row r="920" spans="1:6" x14ac:dyDescent="0.3">
      <c r="A920" s="2" t="s">
        <v>987</v>
      </c>
      <c r="B920" s="2"/>
      <c r="C920" s="2"/>
      <c r="D920" s="2"/>
      <c r="E920" s="2"/>
      <c r="F920" s="2"/>
    </row>
    <row r="921" spans="1:6" x14ac:dyDescent="0.3">
      <c r="A921" s="2" t="s">
        <v>988</v>
      </c>
      <c r="B921" s="2"/>
      <c r="C921" s="2"/>
      <c r="D921" s="2"/>
      <c r="E921" s="2"/>
      <c r="F921" s="2"/>
    </row>
    <row r="922" spans="1:6" x14ac:dyDescent="0.3">
      <c r="A922" s="2" t="s">
        <v>989</v>
      </c>
      <c r="B922" s="2"/>
      <c r="C922" s="2"/>
      <c r="D922" s="2"/>
      <c r="E922" s="2"/>
      <c r="F922" s="2"/>
    </row>
    <row r="923" spans="1:6" x14ac:dyDescent="0.3">
      <c r="A923" s="2" t="s">
        <v>990</v>
      </c>
      <c r="B923" s="2"/>
      <c r="C923" s="2"/>
      <c r="D923" s="2"/>
      <c r="E923" s="2"/>
      <c r="F923" s="2"/>
    </row>
    <row r="924" spans="1:6" x14ac:dyDescent="0.3">
      <c r="A924" s="2" t="s">
        <v>991</v>
      </c>
      <c r="B924" s="2"/>
      <c r="C924" s="2"/>
      <c r="D924" s="2"/>
      <c r="E924" s="2"/>
      <c r="F924" s="2"/>
    </row>
    <row r="925" spans="1:6" x14ac:dyDescent="0.3">
      <c r="A925" s="2" t="s">
        <v>992</v>
      </c>
      <c r="B925" s="2"/>
      <c r="C925" s="2"/>
      <c r="D925" s="2"/>
      <c r="E925" s="2"/>
      <c r="F925" s="2"/>
    </row>
    <row r="926" spans="1:6" x14ac:dyDescent="0.3">
      <c r="A926" s="2" t="s">
        <v>993</v>
      </c>
      <c r="B926" s="2"/>
      <c r="C926" s="2"/>
      <c r="D926" s="2"/>
      <c r="E926" s="2"/>
      <c r="F926" s="2"/>
    </row>
    <row r="927" spans="1:6" x14ac:dyDescent="0.3">
      <c r="A927" s="2" t="s">
        <v>994</v>
      </c>
      <c r="B927" s="2"/>
      <c r="C927" s="2"/>
      <c r="D927" s="2"/>
      <c r="E927" s="2"/>
      <c r="F927" s="2"/>
    </row>
    <row r="928" spans="1:6" x14ac:dyDescent="0.3">
      <c r="A928" s="2" t="s">
        <v>995</v>
      </c>
      <c r="B928" s="2"/>
      <c r="C928" s="2"/>
      <c r="D928" s="2"/>
      <c r="E928" s="2"/>
      <c r="F928" s="2"/>
    </row>
    <row r="929" spans="1:6" x14ac:dyDescent="0.3">
      <c r="A929" s="2" t="s">
        <v>996</v>
      </c>
      <c r="B929" s="2"/>
      <c r="C929" s="2"/>
      <c r="D929" s="2"/>
      <c r="E929" s="2"/>
      <c r="F929" s="2"/>
    </row>
    <row r="930" spans="1:6" x14ac:dyDescent="0.3">
      <c r="A930" s="2" t="s">
        <v>997</v>
      </c>
      <c r="B930" s="2"/>
      <c r="C930" s="2"/>
      <c r="D930" s="2"/>
      <c r="E930" s="2"/>
      <c r="F930" s="2"/>
    </row>
    <row r="931" spans="1:6" x14ac:dyDescent="0.3">
      <c r="A931" s="2" t="s">
        <v>998</v>
      </c>
      <c r="B931" s="2"/>
      <c r="C931" s="2"/>
      <c r="D931" s="2"/>
      <c r="E931" s="2"/>
      <c r="F931" s="2"/>
    </row>
    <row r="932" spans="1:6" x14ac:dyDescent="0.3">
      <c r="A932" s="2" t="s">
        <v>999</v>
      </c>
      <c r="B932" s="2"/>
      <c r="C932" s="2"/>
      <c r="D932" s="2"/>
      <c r="E932" s="2"/>
      <c r="F932" s="2"/>
    </row>
    <row r="933" spans="1:6" x14ac:dyDescent="0.3">
      <c r="A933" s="2" t="s">
        <v>1000</v>
      </c>
      <c r="B933" s="2"/>
      <c r="C933" s="2"/>
      <c r="D933" s="2"/>
      <c r="E933" s="2"/>
      <c r="F933" s="2"/>
    </row>
    <row r="934" spans="1:6" x14ac:dyDescent="0.3">
      <c r="A934" s="2" t="s">
        <v>1001</v>
      </c>
      <c r="B934" s="2"/>
      <c r="C934" s="2"/>
      <c r="D934" s="2"/>
      <c r="E934" s="2"/>
      <c r="F934" s="2"/>
    </row>
    <row r="935" spans="1:6" x14ac:dyDescent="0.3">
      <c r="A935" s="2" t="s">
        <v>1002</v>
      </c>
      <c r="B935" s="2"/>
      <c r="C935" s="2"/>
      <c r="D935" s="2"/>
      <c r="E935" s="2"/>
      <c r="F935" s="2"/>
    </row>
    <row r="936" spans="1:6" x14ac:dyDescent="0.3">
      <c r="A936" s="2" t="s">
        <v>1003</v>
      </c>
      <c r="B936" s="2"/>
      <c r="C936" s="2"/>
      <c r="D936" s="2"/>
      <c r="E936" s="2"/>
      <c r="F936" s="2"/>
    </row>
    <row r="937" spans="1:6" x14ac:dyDescent="0.3">
      <c r="A937" s="2" t="s">
        <v>1004</v>
      </c>
      <c r="B937" s="2"/>
      <c r="C937" s="2"/>
      <c r="D937" s="2"/>
      <c r="E937" s="2"/>
      <c r="F937" s="2"/>
    </row>
    <row r="938" spans="1:6" x14ac:dyDescent="0.3">
      <c r="A938" s="2" t="s">
        <v>1005</v>
      </c>
      <c r="B938" s="2"/>
      <c r="C938" s="2"/>
      <c r="D938" s="2"/>
      <c r="E938" s="2"/>
      <c r="F938" s="2"/>
    </row>
    <row r="939" spans="1:6" x14ac:dyDescent="0.3">
      <c r="A939" s="2" t="s">
        <v>1006</v>
      </c>
      <c r="B939" s="2"/>
      <c r="C939" s="2"/>
      <c r="D939" s="2"/>
      <c r="E939" s="2"/>
      <c r="F939" s="2"/>
    </row>
    <row r="940" spans="1:6" x14ac:dyDescent="0.3">
      <c r="A940" s="2" t="s">
        <v>1007</v>
      </c>
      <c r="B940" s="2"/>
      <c r="C940" s="2"/>
      <c r="D940" s="2"/>
      <c r="E940" s="2"/>
      <c r="F940" s="2"/>
    </row>
    <row r="941" spans="1:6" x14ac:dyDescent="0.3">
      <c r="A941" s="2" t="s">
        <v>1008</v>
      </c>
      <c r="B941" s="2"/>
      <c r="C941" s="2"/>
      <c r="D941" s="2"/>
      <c r="E941" s="2"/>
      <c r="F941" s="2"/>
    </row>
    <row r="942" spans="1:6" x14ac:dyDescent="0.3">
      <c r="A942" s="2" t="s">
        <v>1009</v>
      </c>
      <c r="B942" s="2"/>
      <c r="C942" s="2"/>
      <c r="D942" s="2"/>
      <c r="E942" s="2"/>
      <c r="F942" s="2"/>
    </row>
    <row r="943" spans="1:6" x14ac:dyDescent="0.3">
      <c r="A943" s="2" t="s">
        <v>1010</v>
      </c>
      <c r="B943" s="2"/>
      <c r="C943" s="2"/>
      <c r="D943" s="2"/>
      <c r="E943" s="2"/>
      <c r="F943" s="2"/>
    </row>
    <row r="944" spans="1:6" x14ac:dyDescent="0.3">
      <c r="A944" s="2" t="s">
        <v>1011</v>
      </c>
      <c r="B944" s="2"/>
      <c r="C944" s="2"/>
      <c r="D944" s="2"/>
      <c r="E944" s="2"/>
      <c r="F944" s="2"/>
    </row>
    <row r="945" spans="1:6" x14ac:dyDescent="0.3">
      <c r="A945" s="2" t="s">
        <v>1012</v>
      </c>
      <c r="B945" s="2"/>
      <c r="C945" s="2"/>
      <c r="D945" s="2"/>
      <c r="E945" s="2"/>
      <c r="F945" s="2"/>
    </row>
    <row r="946" spans="1:6" x14ac:dyDescent="0.3">
      <c r="A946" s="2" t="s">
        <v>1013</v>
      </c>
      <c r="B946" s="2"/>
      <c r="C946" s="2"/>
      <c r="D946" s="2"/>
      <c r="E946" s="2"/>
      <c r="F946" s="2"/>
    </row>
    <row r="947" spans="1:6" x14ac:dyDescent="0.3">
      <c r="A947" s="2" t="s">
        <v>1014</v>
      </c>
      <c r="B947" s="2"/>
      <c r="C947" s="2"/>
      <c r="D947" s="2"/>
      <c r="E947" s="2"/>
      <c r="F947" s="2"/>
    </row>
    <row r="948" spans="1:6" x14ac:dyDescent="0.3">
      <c r="A948" s="2" t="s">
        <v>1015</v>
      </c>
      <c r="B948" s="2"/>
      <c r="C948" s="2"/>
      <c r="D948" s="2"/>
      <c r="E948" s="2"/>
      <c r="F948" s="2"/>
    </row>
    <row r="949" spans="1:6" x14ac:dyDescent="0.3">
      <c r="A949" s="2" t="s">
        <v>1016</v>
      </c>
      <c r="B949" s="2"/>
      <c r="C949" s="2"/>
      <c r="D949" s="2"/>
      <c r="E949" s="2"/>
      <c r="F949" s="2"/>
    </row>
    <row r="950" spans="1:6" x14ac:dyDescent="0.3">
      <c r="A950" s="2" t="s">
        <v>1017</v>
      </c>
      <c r="B950" s="2"/>
      <c r="C950" s="2"/>
      <c r="D950" s="2"/>
      <c r="E950" s="2"/>
      <c r="F950" s="2"/>
    </row>
    <row r="951" spans="1:6" x14ac:dyDescent="0.3">
      <c r="A951" s="2" t="s">
        <v>1018</v>
      </c>
      <c r="B951" s="2"/>
      <c r="C951" s="2"/>
      <c r="D951" s="2"/>
      <c r="E951" s="2"/>
      <c r="F951" s="2"/>
    </row>
    <row r="952" spans="1:6" x14ac:dyDescent="0.3">
      <c r="A952" s="2" t="s">
        <v>1019</v>
      </c>
      <c r="B952" s="2"/>
      <c r="C952" s="2"/>
      <c r="D952" s="2"/>
      <c r="E952" s="2"/>
      <c r="F952" s="2"/>
    </row>
    <row r="953" spans="1:6" x14ac:dyDescent="0.3">
      <c r="A953" s="2" t="s">
        <v>1020</v>
      </c>
      <c r="B953" s="2"/>
      <c r="C953" s="2"/>
      <c r="D953" s="2"/>
      <c r="E953" s="2"/>
      <c r="F953" s="2"/>
    </row>
    <row r="954" spans="1:6" x14ac:dyDescent="0.3">
      <c r="A954" s="2" t="s">
        <v>1021</v>
      </c>
      <c r="B954" s="2"/>
      <c r="C954" s="2"/>
      <c r="D954" s="2"/>
      <c r="E954" s="2"/>
      <c r="F954" s="2"/>
    </row>
    <row r="955" spans="1:6" x14ac:dyDescent="0.3">
      <c r="A955" s="2" t="s">
        <v>1022</v>
      </c>
      <c r="B955" s="2"/>
      <c r="C955" s="2"/>
      <c r="D955" s="2"/>
      <c r="E955" s="2"/>
      <c r="F955" s="2"/>
    </row>
    <row r="956" spans="1:6" x14ac:dyDescent="0.3">
      <c r="A956" s="2" t="s">
        <v>1023</v>
      </c>
      <c r="B956" s="2"/>
      <c r="C956" s="2"/>
      <c r="D956" s="2"/>
      <c r="E956" s="2"/>
      <c r="F956" s="2"/>
    </row>
    <row r="957" spans="1:6" x14ac:dyDescent="0.3">
      <c r="A957" s="2" t="s">
        <v>1024</v>
      </c>
      <c r="B957" s="2"/>
      <c r="C957" s="2"/>
      <c r="D957" s="2"/>
      <c r="E957" s="2"/>
      <c r="F957" s="2"/>
    </row>
    <row r="958" spans="1:6" x14ac:dyDescent="0.3">
      <c r="A958" s="2" t="s">
        <v>1025</v>
      </c>
      <c r="B958" s="2"/>
      <c r="C958" s="2"/>
      <c r="D958" s="2"/>
      <c r="E958" s="2"/>
      <c r="F958" s="2"/>
    </row>
    <row r="959" spans="1:6" x14ac:dyDescent="0.3">
      <c r="A959" s="2" t="s">
        <v>1026</v>
      </c>
      <c r="B959" s="2"/>
      <c r="C959" s="2"/>
      <c r="D959" s="2"/>
      <c r="E959" s="2"/>
      <c r="F959" s="2"/>
    </row>
    <row r="960" spans="1:6" x14ac:dyDescent="0.3">
      <c r="A960" s="2" t="s">
        <v>1027</v>
      </c>
      <c r="B960" s="2"/>
      <c r="C960" s="2"/>
      <c r="D960" s="2"/>
      <c r="E960" s="2"/>
      <c r="F960" s="2"/>
    </row>
    <row r="961" spans="1:6" x14ac:dyDescent="0.3">
      <c r="A961" s="2" t="s">
        <v>1028</v>
      </c>
      <c r="B961" s="2"/>
      <c r="C961" s="2"/>
      <c r="D961" s="2"/>
      <c r="E961" s="2"/>
      <c r="F961" s="2"/>
    </row>
    <row r="962" spans="1:6" x14ac:dyDescent="0.3">
      <c r="A962" s="2" t="s">
        <v>1029</v>
      </c>
      <c r="B962" s="2"/>
      <c r="C962" s="2"/>
      <c r="D962" s="2"/>
      <c r="E962" s="2"/>
      <c r="F962" s="2"/>
    </row>
    <row r="963" spans="1:6" x14ac:dyDescent="0.3">
      <c r="A963" s="2" t="s">
        <v>1030</v>
      </c>
      <c r="B963" s="2"/>
      <c r="C963" s="2"/>
      <c r="D963" s="2"/>
      <c r="E963" s="2"/>
      <c r="F963" s="2"/>
    </row>
    <row r="964" spans="1:6" x14ac:dyDescent="0.3">
      <c r="A964" s="2" t="s">
        <v>1031</v>
      </c>
      <c r="B964" s="2"/>
      <c r="C964" s="2"/>
      <c r="D964" s="2"/>
      <c r="E964" s="2"/>
      <c r="F964" s="2"/>
    </row>
    <row r="965" spans="1:6" x14ac:dyDescent="0.3">
      <c r="A965" s="2" t="s">
        <v>1032</v>
      </c>
      <c r="B965" s="2"/>
      <c r="C965" s="2"/>
      <c r="D965" s="2"/>
      <c r="E965" s="2"/>
      <c r="F965" s="2"/>
    </row>
    <row r="966" spans="1:6" x14ac:dyDescent="0.3">
      <c r="A966" s="2" t="s">
        <v>1033</v>
      </c>
      <c r="B966" s="2"/>
      <c r="C966" s="2"/>
      <c r="D966" s="2"/>
      <c r="E966" s="2"/>
      <c r="F966" s="2"/>
    </row>
    <row r="967" spans="1:6" x14ac:dyDescent="0.3">
      <c r="A967" s="2" t="s">
        <v>1034</v>
      </c>
      <c r="B967" s="2"/>
      <c r="C967" s="2"/>
      <c r="D967" s="2"/>
      <c r="E967" s="2"/>
      <c r="F967" s="2"/>
    </row>
    <row r="968" spans="1:6" x14ac:dyDescent="0.3">
      <c r="A968" s="2" t="s">
        <v>1035</v>
      </c>
      <c r="B968" s="2"/>
      <c r="C968" s="2"/>
      <c r="D968" s="2"/>
      <c r="E968" s="2"/>
      <c r="F968" s="2"/>
    </row>
    <row r="969" spans="1:6" x14ac:dyDescent="0.3">
      <c r="A969" s="2" t="s">
        <v>1036</v>
      </c>
      <c r="B969" s="2"/>
      <c r="C969" s="2"/>
      <c r="D969" s="2"/>
      <c r="E969" s="2"/>
      <c r="F969" s="2"/>
    </row>
    <row r="970" spans="1:6" x14ac:dyDescent="0.3">
      <c r="A970" s="2" t="s">
        <v>1037</v>
      </c>
      <c r="B970" s="2"/>
      <c r="C970" s="2"/>
      <c r="D970" s="2"/>
      <c r="E970" s="2"/>
      <c r="F970" s="2"/>
    </row>
    <row r="971" spans="1:6" x14ac:dyDescent="0.3">
      <c r="A971" s="2" t="s">
        <v>1038</v>
      </c>
      <c r="B971" s="2"/>
      <c r="C971" s="2"/>
      <c r="D971" s="2"/>
      <c r="E971" s="2"/>
      <c r="F971" s="2"/>
    </row>
    <row r="972" spans="1:6" x14ac:dyDescent="0.3">
      <c r="A972" s="2" t="s">
        <v>1039</v>
      </c>
      <c r="B972" s="2"/>
      <c r="C972" s="2"/>
      <c r="D972" s="2"/>
      <c r="E972" s="2"/>
      <c r="F972" s="2"/>
    </row>
    <row r="973" spans="1:6" x14ac:dyDescent="0.3">
      <c r="A973" s="2" t="s">
        <v>1040</v>
      </c>
      <c r="B973" s="2"/>
      <c r="C973" s="2"/>
      <c r="D973" s="2"/>
      <c r="E973" s="2"/>
      <c r="F973" s="2"/>
    </row>
    <row r="974" spans="1:6" x14ac:dyDescent="0.3">
      <c r="A974" s="2" t="s">
        <v>1041</v>
      </c>
      <c r="B974" s="2"/>
      <c r="C974" s="2"/>
      <c r="D974" s="2"/>
      <c r="E974" s="2"/>
      <c r="F974" s="2"/>
    </row>
    <row r="975" spans="1:6" x14ac:dyDescent="0.3">
      <c r="A975" s="2" t="s">
        <v>1042</v>
      </c>
      <c r="B975" s="2"/>
      <c r="C975" s="2"/>
      <c r="D975" s="2"/>
      <c r="E975" s="2"/>
      <c r="F975" s="2"/>
    </row>
    <row r="976" spans="1:6" x14ac:dyDescent="0.3">
      <c r="A976" s="2" t="s">
        <v>1043</v>
      </c>
      <c r="B976" s="2"/>
      <c r="C976" s="2"/>
      <c r="D976" s="2"/>
      <c r="E976" s="2"/>
      <c r="F976" s="2"/>
    </row>
    <row r="977" spans="1:6" x14ac:dyDescent="0.3">
      <c r="A977" s="2" t="s">
        <v>1044</v>
      </c>
      <c r="B977" s="2"/>
      <c r="C977" s="2"/>
      <c r="D977" s="2"/>
      <c r="E977" s="2"/>
      <c r="F977" s="2"/>
    </row>
    <row r="978" spans="1:6" x14ac:dyDescent="0.3">
      <c r="A978" s="2" t="s">
        <v>1045</v>
      </c>
      <c r="B978" s="2"/>
      <c r="C978" s="2"/>
      <c r="D978" s="2"/>
      <c r="E978" s="2"/>
      <c r="F978" s="2"/>
    </row>
    <row r="979" spans="1:6" x14ac:dyDescent="0.3">
      <c r="A979" s="2" t="s">
        <v>1046</v>
      </c>
      <c r="B979" s="2"/>
      <c r="C979" s="2"/>
      <c r="D979" s="2"/>
      <c r="E979" s="2"/>
      <c r="F979" s="2"/>
    </row>
    <row r="980" spans="1:6" x14ac:dyDescent="0.3">
      <c r="A980" s="2" t="s">
        <v>1047</v>
      </c>
      <c r="B980" s="2"/>
      <c r="C980" s="2"/>
      <c r="D980" s="2"/>
      <c r="E980" s="2"/>
      <c r="F980" s="2"/>
    </row>
    <row r="981" spans="1:6" x14ac:dyDescent="0.3">
      <c r="A981" s="2" t="s">
        <v>1048</v>
      </c>
      <c r="B981" s="2"/>
      <c r="C981" s="2"/>
      <c r="D981" s="2"/>
      <c r="E981" s="2"/>
      <c r="F981" s="2"/>
    </row>
    <row r="982" spans="1:6" x14ac:dyDescent="0.3">
      <c r="A982" s="2" t="s">
        <v>1049</v>
      </c>
      <c r="B982" s="2"/>
      <c r="C982" s="2"/>
      <c r="D982" s="2"/>
      <c r="E982" s="2"/>
      <c r="F982" s="2"/>
    </row>
    <row r="983" spans="1:6" x14ac:dyDescent="0.3">
      <c r="A983" s="2" t="s">
        <v>1050</v>
      </c>
      <c r="B983" s="2"/>
      <c r="C983" s="2"/>
      <c r="D983" s="2"/>
      <c r="E983" s="2"/>
      <c r="F983" s="2"/>
    </row>
    <row r="984" spans="1:6" x14ac:dyDescent="0.3">
      <c r="A984" s="2" t="s">
        <v>1051</v>
      </c>
      <c r="B984" s="2"/>
      <c r="C984" s="2"/>
      <c r="D984" s="2"/>
      <c r="E984" s="2"/>
      <c r="F984" s="2"/>
    </row>
    <row r="985" spans="1:6" x14ac:dyDescent="0.3">
      <c r="A985" s="2" t="s">
        <v>1052</v>
      </c>
      <c r="B985" s="2"/>
      <c r="C985" s="2"/>
      <c r="D985" s="2"/>
      <c r="E985" s="2"/>
      <c r="F985" s="2"/>
    </row>
    <row r="986" spans="1:6" x14ac:dyDescent="0.3">
      <c r="A986" s="2" t="s">
        <v>1053</v>
      </c>
      <c r="B986" s="2"/>
      <c r="C986" s="2"/>
      <c r="D986" s="2"/>
      <c r="E986" s="2"/>
      <c r="F986" s="2"/>
    </row>
    <row r="987" spans="1:6" x14ac:dyDescent="0.3">
      <c r="A987" s="2" t="s">
        <v>1054</v>
      </c>
      <c r="B987" s="2"/>
      <c r="C987" s="2"/>
      <c r="D987" s="2"/>
      <c r="E987" s="2"/>
      <c r="F987" s="2"/>
    </row>
    <row r="988" spans="1:6" x14ac:dyDescent="0.3">
      <c r="A988" s="2" t="s">
        <v>1055</v>
      </c>
      <c r="B988" s="2"/>
      <c r="C988" s="2"/>
      <c r="D988" s="2"/>
      <c r="E988" s="2"/>
      <c r="F988" s="2"/>
    </row>
    <row r="989" spans="1:6" x14ac:dyDescent="0.3">
      <c r="A989" s="2" t="s">
        <v>1056</v>
      </c>
      <c r="B989" s="2"/>
      <c r="C989" s="2"/>
      <c r="D989" s="2"/>
      <c r="E989" s="2"/>
      <c r="F989" s="2"/>
    </row>
    <row r="990" spans="1:6" x14ac:dyDescent="0.3">
      <c r="A990" s="2" t="s">
        <v>1057</v>
      </c>
      <c r="B990" s="2"/>
      <c r="C990" s="2"/>
      <c r="D990" s="2"/>
      <c r="E990" s="2"/>
      <c r="F990" s="2"/>
    </row>
    <row r="991" spans="1:6" x14ac:dyDescent="0.3">
      <c r="A991" s="2" t="s">
        <v>1058</v>
      </c>
      <c r="B991" s="2"/>
      <c r="C991" s="2"/>
      <c r="D991" s="2"/>
      <c r="E991" s="2"/>
      <c r="F991" s="2"/>
    </row>
    <row r="992" spans="1:6" x14ac:dyDescent="0.3">
      <c r="A992" s="2" t="s">
        <v>1059</v>
      </c>
      <c r="B992" s="2"/>
      <c r="C992" s="2"/>
      <c r="D992" s="2"/>
      <c r="E992" s="2"/>
      <c r="F992" s="2"/>
    </row>
    <row r="993" spans="1:6" x14ac:dyDescent="0.3">
      <c r="A993" s="2" t="s">
        <v>1060</v>
      </c>
      <c r="B993" s="2"/>
      <c r="C993" s="2"/>
      <c r="D993" s="2"/>
      <c r="E993" s="2"/>
      <c r="F993" s="2"/>
    </row>
    <row r="994" spans="1:6" x14ac:dyDescent="0.3">
      <c r="A994" s="2" t="s">
        <v>1061</v>
      </c>
      <c r="B994" s="2"/>
      <c r="C994" s="2"/>
      <c r="D994" s="2"/>
      <c r="E994" s="2"/>
      <c r="F994" s="2"/>
    </row>
    <row r="995" spans="1:6" x14ac:dyDescent="0.3">
      <c r="A995" s="2" t="s">
        <v>1062</v>
      </c>
      <c r="B995" s="2"/>
      <c r="C995" s="2"/>
      <c r="D995" s="2"/>
      <c r="E995" s="2"/>
      <c r="F995" s="2"/>
    </row>
    <row r="996" spans="1:6" x14ac:dyDescent="0.3">
      <c r="A996" s="2" t="s">
        <v>1063</v>
      </c>
      <c r="B996" s="2"/>
      <c r="C996" s="2"/>
      <c r="D996" s="2"/>
      <c r="E996" s="2"/>
      <c r="F996" s="2"/>
    </row>
    <row r="997" spans="1:6" x14ac:dyDescent="0.3">
      <c r="A997" s="2" t="s">
        <v>1064</v>
      </c>
      <c r="B997" s="2"/>
      <c r="C997" s="2"/>
      <c r="D997" s="2"/>
      <c r="E997" s="2"/>
      <c r="F997" s="2"/>
    </row>
    <row r="998" spans="1:6" x14ac:dyDescent="0.3">
      <c r="A998" s="2" t="s">
        <v>1065</v>
      </c>
      <c r="B998" s="2"/>
      <c r="C998" s="2"/>
      <c r="D998" s="2"/>
      <c r="E998" s="2"/>
      <c r="F998" s="2"/>
    </row>
    <row r="999" spans="1:6" x14ac:dyDescent="0.3">
      <c r="A999" s="2" t="s">
        <v>1066</v>
      </c>
      <c r="B999" s="2"/>
      <c r="C999" s="2"/>
      <c r="D999" s="2"/>
      <c r="E999" s="2"/>
      <c r="F999" s="2"/>
    </row>
    <row r="1000" spans="1:6" x14ac:dyDescent="0.3">
      <c r="A1000" s="2" t="s">
        <v>1067</v>
      </c>
      <c r="B1000" s="2"/>
      <c r="C1000" s="2"/>
      <c r="D1000" s="2"/>
      <c r="E1000" s="2"/>
      <c r="F1000" s="2"/>
    </row>
    <row r="1001" spans="1:6" x14ac:dyDescent="0.3">
      <c r="A1001" s="2" t="s">
        <v>1068</v>
      </c>
      <c r="B1001" s="2"/>
      <c r="C1001" s="2"/>
      <c r="D1001" s="2"/>
      <c r="E1001" s="2"/>
      <c r="F1001" s="2"/>
    </row>
    <row r="1002" spans="1:6" x14ac:dyDescent="0.3">
      <c r="A1002" s="2" t="s">
        <v>1069</v>
      </c>
      <c r="B1002" s="2"/>
      <c r="C1002" s="2"/>
      <c r="D1002" s="2"/>
      <c r="E1002" s="2"/>
      <c r="F1002" s="2"/>
    </row>
    <row r="1003" spans="1:6" x14ac:dyDescent="0.3">
      <c r="A1003" s="2" t="s">
        <v>1070</v>
      </c>
      <c r="B1003" s="2"/>
      <c r="C1003" s="2"/>
      <c r="D1003" s="2"/>
      <c r="E1003" s="2"/>
      <c r="F1003" s="2"/>
    </row>
    <row r="1004" spans="1:6" x14ac:dyDescent="0.3">
      <c r="A1004" s="2" t="s">
        <v>1071</v>
      </c>
      <c r="B1004" s="2"/>
      <c r="C1004" s="2"/>
      <c r="D1004" s="2"/>
      <c r="E1004" s="2"/>
      <c r="F1004" s="2"/>
    </row>
    <row r="1005" spans="1:6" x14ac:dyDescent="0.3">
      <c r="A1005" s="2" t="s">
        <v>1072</v>
      </c>
      <c r="B1005" s="2"/>
      <c r="C1005" s="2"/>
      <c r="D1005" s="2"/>
      <c r="E1005" s="2"/>
      <c r="F1005" s="2"/>
    </row>
    <row r="1006" spans="1:6" x14ac:dyDescent="0.3">
      <c r="A1006" s="2" t="s">
        <v>1073</v>
      </c>
      <c r="B1006" s="2"/>
      <c r="C1006" s="2"/>
      <c r="D1006" s="2"/>
      <c r="E1006" s="2"/>
      <c r="F1006" s="2"/>
    </row>
    <row r="1007" spans="1:6" x14ac:dyDescent="0.3">
      <c r="A1007" s="2" t="s">
        <v>1074</v>
      </c>
      <c r="B1007" s="2"/>
      <c r="C1007" s="2"/>
      <c r="D1007" s="2"/>
      <c r="E1007" s="2"/>
      <c r="F1007" s="2"/>
    </row>
    <row r="1008" spans="1:6" x14ac:dyDescent="0.3">
      <c r="A1008" s="2" t="s">
        <v>1075</v>
      </c>
      <c r="B1008" s="2"/>
      <c r="C1008" s="2"/>
      <c r="D1008" s="2"/>
      <c r="E1008" s="2"/>
      <c r="F1008" s="2"/>
    </row>
    <row r="1009" spans="1:6" x14ac:dyDescent="0.3">
      <c r="A1009" s="2" t="s">
        <v>1076</v>
      </c>
      <c r="B1009" s="2"/>
      <c r="C1009" s="2"/>
      <c r="D1009" s="2"/>
      <c r="E1009" s="2"/>
      <c r="F1009" s="2"/>
    </row>
    <row r="1010" spans="1:6" x14ac:dyDescent="0.3">
      <c r="A1010" s="2" t="s">
        <v>1077</v>
      </c>
      <c r="B1010" s="2"/>
      <c r="C1010" s="2"/>
      <c r="D1010" s="2"/>
      <c r="E1010" s="2"/>
      <c r="F1010" s="2"/>
    </row>
    <row r="1011" spans="1:6" x14ac:dyDescent="0.3">
      <c r="A1011" s="2" t="s">
        <v>1078</v>
      </c>
      <c r="B1011" s="2"/>
      <c r="C1011" s="2"/>
      <c r="D1011" s="2"/>
      <c r="E1011" s="2"/>
      <c r="F1011" s="2"/>
    </row>
    <row r="1012" spans="1:6" x14ac:dyDescent="0.3">
      <c r="A1012" s="2" t="s">
        <v>1079</v>
      </c>
      <c r="B1012" s="2"/>
      <c r="C1012" s="2"/>
      <c r="D1012" s="2"/>
      <c r="E1012" s="2"/>
      <c r="F1012" s="2"/>
    </row>
    <row r="1013" spans="1:6" x14ac:dyDescent="0.3">
      <c r="A1013" s="2" t="s">
        <v>1080</v>
      </c>
      <c r="B1013" s="2"/>
      <c r="C1013" s="2"/>
      <c r="D1013" s="2"/>
      <c r="E1013" s="2"/>
      <c r="F1013" s="2"/>
    </row>
    <row r="1014" spans="1:6" x14ac:dyDescent="0.3">
      <c r="A1014" s="2" t="s">
        <v>1081</v>
      </c>
      <c r="B1014" s="2"/>
      <c r="C1014" s="2"/>
      <c r="D1014" s="2"/>
      <c r="E1014" s="2"/>
      <c r="F1014" s="2"/>
    </row>
    <row r="1015" spans="1:6" x14ac:dyDescent="0.3">
      <c r="A1015" s="2" t="s">
        <v>1082</v>
      </c>
      <c r="B1015" s="2"/>
      <c r="C1015" s="2"/>
      <c r="D1015" s="2"/>
      <c r="E1015" s="2"/>
      <c r="F1015" s="2"/>
    </row>
    <row r="1016" spans="1:6" x14ac:dyDescent="0.3">
      <c r="A1016" s="2" t="s">
        <v>1083</v>
      </c>
      <c r="B1016" s="2"/>
      <c r="C1016" s="2"/>
      <c r="D1016" s="2"/>
      <c r="E1016" s="2"/>
      <c r="F1016" s="2"/>
    </row>
    <row r="1017" spans="1:6" x14ac:dyDescent="0.3">
      <c r="A1017" s="2" t="s">
        <v>1084</v>
      </c>
      <c r="B1017" s="2"/>
      <c r="C1017" s="2"/>
      <c r="D1017" s="2"/>
      <c r="E1017" s="2"/>
      <c r="F1017" s="2"/>
    </row>
    <row r="1018" spans="1:6" x14ac:dyDescent="0.3">
      <c r="A1018" s="2" t="s">
        <v>1085</v>
      </c>
      <c r="B1018" s="2"/>
      <c r="C1018" s="2"/>
      <c r="D1018" s="2"/>
      <c r="E1018" s="2"/>
      <c r="F1018" s="2"/>
    </row>
    <row r="1019" spans="1:6" x14ac:dyDescent="0.3">
      <c r="A1019" s="2" t="s">
        <v>1086</v>
      </c>
      <c r="B1019" s="2"/>
      <c r="C1019" s="2"/>
      <c r="D1019" s="2"/>
      <c r="E1019" s="2"/>
      <c r="F1019" s="2"/>
    </row>
    <row r="1020" spans="1:6" x14ac:dyDescent="0.3">
      <c r="A1020" s="2" t="s">
        <v>1087</v>
      </c>
      <c r="B1020" s="2"/>
      <c r="C1020" s="2"/>
      <c r="D1020" s="2"/>
      <c r="E1020" s="2"/>
      <c r="F1020" s="2"/>
    </row>
    <row r="1021" spans="1:6" x14ac:dyDescent="0.3">
      <c r="A1021" s="2" t="s">
        <v>1088</v>
      </c>
      <c r="B1021" s="2"/>
      <c r="C1021" s="2"/>
      <c r="D1021" s="2"/>
      <c r="E1021" s="2"/>
      <c r="F1021" s="2"/>
    </row>
    <row r="1022" spans="1:6" x14ac:dyDescent="0.3">
      <c r="A1022" s="2" t="s">
        <v>1089</v>
      </c>
      <c r="B1022" s="2"/>
      <c r="C1022" s="2"/>
      <c r="D1022" s="2"/>
      <c r="E1022" s="2"/>
      <c r="F1022" s="2"/>
    </row>
    <row r="1023" spans="1:6" x14ac:dyDescent="0.3">
      <c r="A1023" s="2" t="s">
        <v>1090</v>
      </c>
      <c r="B1023" s="2"/>
      <c r="C1023" s="2"/>
      <c r="D1023" s="2"/>
      <c r="E1023" s="2"/>
      <c r="F1023" s="2"/>
    </row>
    <row r="1024" spans="1:6" x14ac:dyDescent="0.3">
      <c r="A1024" s="2" t="s">
        <v>1091</v>
      </c>
      <c r="B1024" s="2"/>
      <c r="C1024" s="2"/>
      <c r="D1024" s="2"/>
      <c r="E1024" s="2"/>
      <c r="F1024" s="2"/>
    </row>
    <row r="1025" spans="1:6" x14ac:dyDescent="0.3">
      <c r="A1025" s="2" t="s">
        <v>1092</v>
      </c>
      <c r="B1025" s="2"/>
      <c r="C1025" s="2"/>
      <c r="D1025" s="2"/>
      <c r="E1025" s="2"/>
      <c r="F1025" s="2"/>
    </row>
    <row r="1026" spans="1:6" x14ac:dyDescent="0.3">
      <c r="A1026" s="2" t="s">
        <v>1093</v>
      </c>
      <c r="B1026" s="2"/>
      <c r="C1026" s="2"/>
      <c r="D1026" s="2"/>
      <c r="E1026" s="2"/>
      <c r="F1026" s="2"/>
    </row>
    <row r="1027" spans="1:6" x14ac:dyDescent="0.3">
      <c r="A1027" s="2" t="s">
        <v>1094</v>
      </c>
      <c r="B1027" s="2"/>
      <c r="C1027" s="2"/>
      <c r="D1027" s="2"/>
      <c r="E1027" s="2"/>
      <c r="F1027" s="2"/>
    </row>
    <row r="1028" spans="1:6" x14ac:dyDescent="0.3">
      <c r="A1028" s="2" t="s">
        <v>1095</v>
      </c>
      <c r="B1028" s="2"/>
      <c r="C1028" s="2"/>
      <c r="D1028" s="2"/>
      <c r="E1028" s="2"/>
      <c r="F1028" s="2"/>
    </row>
    <row r="1029" spans="1:6" x14ac:dyDescent="0.3">
      <c r="A1029" s="2" t="s">
        <v>1096</v>
      </c>
      <c r="B1029" s="2"/>
      <c r="C1029" s="2"/>
      <c r="D1029" s="2"/>
      <c r="E1029" s="2"/>
      <c r="F1029" s="2"/>
    </row>
    <row r="1030" spans="1:6" x14ac:dyDescent="0.3">
      <c r="A1030" s="2" t="s">
        <v>1097</v>
      </c>
      <c r="B1030" s="2"/>
      <c r="C1030" s="2"/>
      <c r="D1030" s="2"/>
      <c r="E1030" s="2"/>
      <c r="F1030" s="2"/>
    </row>
    <row r="1031" spans="1:6" x14ac:dyDescent="0.3">
      <c r="A1031" s="2" t="s">
        <v>1098</v>
      </c>
      <c r="B1031" s="2"/>
      <c r="C1031" s="2"/>
      <c r="D1031" s="2"/>
      <c r="E1031" s="2"/>
      <c r="F1031" s="2"/>
    </row>
    <row r="1032" spans="1:6" x14ac:dyDescent="0.3">
      <c r="A1032" s="2" t="s">
        <v>1099</v>
      </c>
      <c r="B1032" s="2"/>
      <c r="C1032" s="2"/>
      <c r="D1032" s="2"/>
      <c r="E1032" s="2"/>
      <c r="F1032" s="2"/>
    </row>
    <row r="1033" spans="1:6" x14ac:dyDescent="0.3">
      <c r="A1033" s="2" t="s">
        <v>1100</v>
      </c>
      <c r="B1033" s="2"/>
      <c r="C1033" s="2"/>
      <c r="D1033" s="2"/>
      <c r="E1033" s="2"/>
      <c r="F1033" s="2"/>
    </row>
    <row r="1034" spans="1:6" x14ac:dyDescent="0.3">
      <c r="A1034" s="2" t="s">
        <v>1101</v>
      </c>
      <c r="B1034" s="2"/>
      <c r="C1034" s="2"/>
      <c r="D1034" s="2"/>
      <c r="E1034" s="2"/>
      <c r="F1034" s="2"/>
    </row>
    <row r="1035" spans="1:6" x14ac:dyDescent="0.3">
      <c r="A1035" s="2" t="s">
        <v>1102</v>
      </c>
      <c r="B1035" s="2"/>
      <c r="C1035" s="2"/>
      <c r="D1035" s="2"/>
      <c r="E1035" s="2"/>
      <c r="F1035" s="2"/>
    </row>
    <row r="1036" spans="1:6" x14ac:dyDescent="0.3">
      <c r="A1036" s="2" t="s">
        <v>1103</v>
      </c>
      <c r="B1036" s="2"/>
      <c r="C1036" s="2"/>
      <c r="D1036" s="2"/>
      <c r="E1036" s="2"/>
      <c r="F1036" s="2"/>
    </row>
    <row r="1037" spans="1:6" x14ac:dyDescent="0.3">
      <c r="A1037" s="2" t="s">
        <v>1104</v>
      </c>
      <c r="B1037" s="2"/>
      <c r="C1037" s="2"/>
      <c r="D1037" s="2"/>
      <c r="E1037" s="2"/>
      <c r="F1037" s="2"/>
    </row>
    <row r="1038" spans="1:6" x14ac:dyDescent="0.3">
      <c r="A1038" s="2" t="s">
        <v>1105</v>
      </c>
      <c r="B1038" s="2"/>
      <c r="C1038" s="2"/>
      <c r="D1038" s="2"/>
      <c r="E1038" s="2"/>
      <c r="F1038" s="2"/>
    </row>
    <row r="1039" spans="1:6" x14ac:dyDescent="0.3">
      <c r="A1039" s="2" t="s">
        <v>1106</v>
      </c>
      <c r="B1039" s="2"/>
      <c r="C1039" s="2"/>
      <c r="D1039" s="2"/>
      <c r="E1039" s="2"/>
      <c r="F1039" s="2"/>
    </row>
    <row r="1040" spans="1:6" x14ac:dyDescent="0.3">
      <c r="A1040" s="2" t="s">
        <v>1107</v>
      </c>
      <c r="B1040" s="2"/>
      <c r="C1040" s="2"/>
      <c r="D1040" s="2"/>
      <c r="E1040" s="2"/>
      <c r="F1040" s="2"/>
    </row>
    <row r="1041" spans="1:6" x14ac:dyDescent="0.3">
      <c r="A1041" s="2" t="s">
        <v>1108</v>
      </c>
      <c r="B1041" s="2"/>
      <c r="C1041" s="2"/>
      <c r="D1041" s="2"/>
      <c r="E1041" s="2"/>
      <c r="F1041" s="2"/>
    </row>
    <row r="1042" spans="1:6" x14ac:dyDescent="0.3">
      <c r="A1042" s="2" t="s">
        <v>1109</v>
      </c>
      <c r="B1042" s="2"/>
      <c r="C1042" s="2"/>
      <c r="D1042" s="2"/>
      <c r="E1042" s="2"/>
      <c r="F1042" s="2"/>
    </row>
    <row r="1043" spans="1:6" x14ac:dyDescent="0.3">
      <c r="A1043" s="2" t="s">
        <v>1110</v>
      </c>
      <c r="B1043" s="2"/>
      <c r="C1043" s="2"/>
      <c r="D1043" s="2"/>
      <c r="E1043" s="2"/>
      <c r="F1043" s="2"/>
    </row>
    <row r="1044" spans="1:6" x14ac:dyDescent="0.3">
      <c r="A1044" s="2" t="s">
        <v>1111</v>
      </c>
      <c r="B1044" s="2"/>
      <c r="C1044" s="2"/>
      <c r="D1044" s="2"/>
      <c r="E1044" s="2"/>
      <c r="F1044" s="2"/>
    </row>
    <row r="1045" spans="1:6" x14ac:dyDescent="0.3">
      <c r="A1045" s="2" t="s">
        <v>1112</v>
      </c>
      <c r="B1045" s="2"/>
      <c r="C1045" s="2"/>
      <c r="D1045" s="2"/>
      <c r="E1045" s="2"/>
      <c r="F1045" s="2"/>
    </row>
    <row r="1046" spans="1:6" x14ac:dyDescent="0.3">
      <c r="A1046" s="2" t="s">
        <v>1113</v>
      </c>
      <c r="B1046" s="2"/>
      <c r="C1046" s="2"/>
      <c r="D1046" s="2"/>
      <c r="E1046" s="2"/>
      <c r="F1046" s="2"/>
    </row>
    <row r="1047" spans="1:6" x14ac:dyDescent="0.3">
      <c r="A1047" s="2" t="s">
        <v>1114</v>
      </c>
      <c r="B1047" s="2"/>
      <c r="C1047" s="2"/>
      <c r="D1047" s="2"/>
      <c r="E1047" s="2"/>
      <c r="F1047" s="2"/>
    </row>
    <row r="1048" spans="1:6" x14ac:dyDescent="0.3">
      <c r="A1048" s="2" t="s">
        <v>1115</v>
      </c>
      <c r="B1048" s="2"/>
      <c r="C1048" s="2"/>
      <c r="D1048" s="2"/>
      <c r="E1048" s="2"/>
      <c r="F1048" s="2"/>
    </row>
    <row r="1049" spans="1:6" x14ac:dyDescent="0.3">
      <c r="A1049" s="2" t="s">
        <v>1116</v>
      </c>
      <c r="B1049" s="2"/>
      <c r="C1049" s="2"/>
      <c r="D1049" s="2"/>
      <c r="E1049" s="2"/>
      <c r="F1049" s="2"/>
    </row>
    <row r="1050" spans="1:6" x14ac:dyDescent="0.3">
      <c r="A1050" s="2" t="s">
        <v>1117</v>
      </c>
      <c r="B1050" s="2"/>
      <c r="C1050" s="2"/>
      <c r="D1050" s="2"/>
      <c r="E1050" s="2"/>
      <c r="F1050" s="2"/>
    </row>
    <row r="1051" spans="1:6" x14ac:dyDescent="0.3">
      <c r="A1051" s="2" t="s">
        <v>1118</v>
      </c>
      <c r="B1051" s="2"/>
      <c r="C1051" s="2"/>
      <c r="D1051" s="2"/>
      <c r="E1051" s="2"/>
      <c r="F1051" s="2"/>
    </row>
    <row r="1052" spans="1:6" x14ac:dyDescent="0.3">
      <c r="A1052" s="2" t="s">
        <v>1119</v>
      </c>
      <c r="B1052" s="2"/>
      <c r="C1052" s="2"/>
      <c r="D1052" s="2"/>
      <c r="E1052" s="2"/>
      <c r="F1052" s="2"/>
    </row>
    <row r="1053" spans="1:6" x14ac:dyDescent="0.3">
      <c r="A1053" s="2" t="s">
        <v>1120</v>
      </c>
      <c r="B1053" s="2"/>
      <c r="C1053" s="2"/>
      <c r="D1053" s="2"/>
      <c r="E1053" s="2"/>
      <c r="F1053" s="2"/>
    </row>
    <row r="1054" spans="1:6" x14ac:dyDescent="0.3">
      <c r="A1054" s="2" t="s">
        <v>1121</v>
      </c>
      <c r="B1054" s="2"/>
      <c r="C1054" s="2"/>
      <c r="D1054" s="2"/>
      <c r="E1054" s="2"/>
      <c r="F1054" s="2"/>
    </row>
    <row r="1055" spans="1:6" x14ac:dyDescent="0.3">
      <c r="A1055" s="2" t="s">
        <v>1122</v>
      </c>
      <c r="B1055" s="2"/>
      <c r="C1055" s="2"/>
      <c r="D1055" s="2"/>
      <c r="E1055" s="2"/>
      <c r="F1055" s="2"/>
    </row>
    <row r="1056" spans="1:6" x14ac:dyDescent="0.3">
      <c r="A1056" s="2" t="s">
        <v>1123</v>
      </c>
      <c r="B1056" s="2"/>
      <c r="C1056" s="2"/>
      <c r="D1056" s="2"/>
      <c r="E1056" s="2"/>
      <c r="F1056" s="2"/>
    </row>
    <row r="1057" spans="1:6" x14ac:dyDescent="0.3">
      <c r="A1057" s="2" t="s">
        <v>1124</v>
      </c>
      <c r="B1057" s="2"/>
      <c r="C1057" s="2"/>
      <c r="D1057" s="2"/>
      <c r="E1057" s="2"/>
      <c r="F1057" s="2"/>
    </row>
    <row r="1058" spans="1:6" x14ac:dyDescent="0.3">
      <c r="A1058" s="2" t="s">
        <v>1125</v>
      </c>
      <c r="B1058" s="2"/>
      <c r="C1058" s="2"/>
      <c r="D1058" s="2"/>
      <c r="E1058" s="2"/>
      <c r="F1058" s="2"/>
    </row>
    <row r="1059" spans="1:6" x14ac:dyDescent="0.3">
      <c r="A1059" s="2" t="s">
        <v>1126</v>
      </c>
      <c r="B1059" s="2"/>
      <c r="C1059" s="2"/>
      <c r="D1059" s="2"/>
      <c r="E1059" s="2"/>
      <c r="F1059" s="2"/>
    </row>
    <row r="1060" spans="1:6" x14ac:dyDescent="0.3">
      <c r="A1060" s="2" t="s">
        <v>1127</v>
      </c>
      <c r="B1060" s="2"/>
      <c r="C1060" s="2"/>
      <c r="D1060" s="2"/>
      <c r="E1060" s="2"/>
      <c r="F1060" s="2"/>
    </row>
    <row r="1061" spans="1:6" x14ac:dyDescent="0.3">
      <c r="A1061" s="2" t="s">
        <v>1128</v>
      </c>
      <c r="B1061" s="2"/>
      <c r="C1061" s="2"/>
      <c r="D1061" s="2"/>
      <c r="E1061" s="2"/>
      <c r="F1061" s="2"/>
    </row>
    <row r="1062" spans="1:6" x14ac:dyDescent="0.3">
      <c r="A1062" s="2" t="s">
        <v>1129</v>
      </c>
      <c r="B1062" s="2"/>
      <c r="C1062" s="2"/>
      <c r="D1062" s="2"/>
      <c r="E1062" s="2"/>
      <c r="F1062" s="2"/>
    </row>
    <row r="1063" spans="1:6" x14ac:dyDescent="0.3">
      <c r="A1063" s="2" t="s">
        <v>1130</v>
      </c>
      <c r="B1063" s="2"/>
      <c r="C1063" s="2"/>
      <c r="D1063" s="2"/>
      <c r="E1063" s="2"/>
      <c r="F1063" s="2"/>
    </row>
    <row r="1064" spans="1:6" x14ac:dyDescent="0.3">
      <c r="A1064" s="2" t="s">
        <v>1131</v>
      </c>
      <c r="B1064" s="2"/>
      <c r="C1064" s="2"/>
      <c r="D1064" s="2"/>
      <c r="E1064" s="2"/>
      <c r="F1064" s="2"/>
    </row>
    <row r="1065" spans="1:6" x14ac:dyDescent="0.3">
      <c r="A1065" s="2" t="s">
        <v>1132</v>
      </c>
      <c r="B1065" s="2"/>
      <c r="C1065" s="2"/>
      <c r="D1065" s="2"/>
      <c r="E1065" s="2"/>
      <c r="F1065" s="2"/>
    </row>
    <row r="1066" spans="1:6" x14ac:dyDescent="0.3">
      <c r="A1066" s="2" t="s">
        <v>1133</v>
      </c>
      <c r="B1066" s="2"/>
      <c r="C1066" s="2"/>
      <c r="D1066" s="2"/>
      <c r="E1066" s="2"/>
      <c r="F1066" s="2"/>
    </row>
    <row r="1067" spans="1:6" x14ac:dyDescent="0.3">
      <c r="A1067" s="2" t="s">
        <v>1134</v>
      </c>
      <c r="B1067" s="2"/>
      <c r="C1067" s="2"/>
      <c r="D1067" s="2"/>
      <c r="E1067" s="2"/>
      <c r="F1067" s="2"/>
    </row>
    <row r="1068" spans="1:6" x14ac:dyDescent="0.3">
      <c r="A1068" s="2" t="s">
        <v>1135</v>
      </c>
      <c r="B1068" s="2"/>
      <c r="C1068" s="2"/>
      <c r="D1068" s="2"/>
      <c r="E1068" s="2"/>
      <c r="F1068" s="2"/>
    </row>
    <row r="1069" spans="1:6" x14ac:dyDescent="0.3">
      <c r="A1069" s="2" t="s">
        <v>1136</v>
      </c>
      <c r="B1069" s="2"/>
      <c r="C1069" s="2"/>
      <c r="D1069" s="2"/>
      <c r="E1069" s="2"/>
      <c r="F1069" s="2"/>
    </row>
    <row r="1070" spans="1:6" x14ac:dyDescent="0.3">
      <c r="A1070" s="2" t="s">
        <v>1137</v>
      </c>
      <c r="B1070" s="2"/>
      <c r="C1070" s="2"/>
      <c r="D1070" s="2"/>
      <c r="E1070" s="2"/>
      <c r="F1070" s="2"/>
    </row>
    <row r="1071" spans="1:6" x14ac:dyDescent="0.3">
      <c r="A1071" s="2" t="s">
        <v>1138</v>
      </c>
      <c r="B1071" s="2"/>
      <c r="C1071" s="2"/>
      <c r="D1071" s="2"/>
      <c r="E1071" s="2"/>
      <c r="F1071" s="2"/>
    </row>
    <row r="1072" spans="1:6" x14ac:dyDescent="0.3">
      <c r="A1072" s="2" t="s">
        <v>1139</v>
      </c>
      <c r="B1072" s="2"/>
      <c r="C1072" s="2"/>
      <c r="D1072" s="2"/>
      <c r="E1072" s="2"/>
      <c r="F1072" s="2"/>
    </row>
    <row r="1073" spans="1:6" x14ac:dyDescent="0.3">
      <c r="A1073" s="2" t="s">
        <v>1140</v>
      </c>
      <c r="B1073" s="2"/>
      <c r="C1073" s="2"/>
      <c r="D1073" s="2"/>
      <c r="E1073" s="2"/>
      <c r="F1073" s="2"/>
    </row>
    <row r="1074" spans="1:6" x14ac:dyDescent="0.3">
      <c r="A1074" s="2" t="s">
        <v>1141</v>
      </c>
      <c r="B1074" s="2"/>
      <c r="C1074" s="2"/>
      <c r="D1074" s="2"/>
      <c r="E1074" s="2"/>
      <c r="F1074" s="2"/>
    </row>
    <row r="1075" spans="1:6" x14ac:dyDescent="0.3">
      <c r="A1075" s="2" t="s">
        <v>1142</v>
      </c>
      <c r="B1075" s="2"/>
      <c r="C1075" s="2"/>
      <c r="D1075" s="2"/>
      <c r="E1075" s="2"/>
      <c r="F1075" s="2"/>
    </row>
    <row r="1076" spans="1:6" x14ac:dyDescent="0.3">
      <c r="A1076" s="2" t="s">
        <v>1143</v>
      </c>
      <c r="B1076" s="2"/>
      <c r="C1076" s="2"/>
      <c r="D1076" s="2"/>
      <c r="E1076" s="2"/>
      <c r="F1076" s="2"/>
    </row>
    <row r="1077" spans="1:6" x14ac:dyDescent="0.3">
      <c r="A1077" s="2" t="s">
        <v>1144</v>
      </c>
      <c r="B1077" s="2"/>
      <c r="C1077" s="2"/>
      <c r="D1077" s="2"/>
      <c r="E1077" s="2"/>
      <c r="F1077" s="2"/>
    </row>
    <row r="1078" spans="1:6" x14ac:dyDescent="0.3">
      <c r="A1078" s="2" t="s">
        <v>1145</v>
      </c>
      <c r="B1078" s="2"/>
      <c r="C1078" s="2"/>
      <c r="D1078" s="2"/>
      <c r="E1078" s="2"/>
      <c r="F1078" s="2"/>
    </row>
    <row r="1079" spans="1:6" x14ac:dyDescent="0.3">
      <c r="A1079" s="2" t="s">
        <v>1146</v>
      </c>
      <c r="B1079" s="2"/>
      <c r="C1079" s="2"/>
      <c r="D1079" s="2"/>
      <c r="E1079" s="2"/>
      <c r="F1079" s="2"/>
    </row>
    <row r="1080" spans="1:6" x14ac:dyDescent="0.3">
      <c r="A1080" s="2" t="s">
        <v>1147</v>
      </c>
      <c r="B1080" s="2"/>
      <c r="C1080" s="2"/>
      <c r="D1080" s="2"/>
      <c r="E1080" s="2"/>
      <c r="F1080" s="2"/>
    </row>
    <row r="1081" spans="1:6" x14ac:dyDescent="0.3">
      <c r="A1081" s="2" t="s">
        <v>1148</v>
      </c>
      <c r="B1081" s="2"/>
      <c r="C1081" s="2"/>
      <c r="D1081" s="2"/>
      <c r="E1081" s="2"/>
      <c r="F1081" s="2"/>
    </row>
    <row r="1082" spans="1:6" x14ac:dyDescent="0.3">
      <c r="A1082" s="2" t="s">
        <v>1149</v>
      </c>
      <c r="B1082" s="2"/>
      <c r="C1082" s="2"/>
      <c r="D1082" s="2"/>
      <c r="E1082" s="2"/>
      <c r="F1082" s="2"/>
    </row>
    <row r="1083" spans="1:6" x14ac:dyDescent="0.3">
      <c r="A1083" s="2" t="s">
        <v>1150</v>
      </c>
      <c r="B1083" s="2"/>
      <c r="C1083" s="2"/>
      <c r="D1083" s="2"/>
      <c r="E1083" s="2"/>
      <c r="F1083" s="2"/>
    </row>
    <row r="1084" spans="1:6" x14ac:dyDescent="0.3">
      <c r="A1084" s="2" t="s">
        <v>1151</v>
      </c>
      <c r="B1084" s="2"/>
      <c r="C1084" s="2"/>
      <c r="D1084" s="2"/>
      <c r="E1084" s="2"/>
      <c r="F1084" s="2"/>
    </row>
    <row r="1085" spans="1:6" x14ac:dyDescent="0.3">
      <c r="A1085" s="2" t="s">
        <v>1152</v>
      </c>
      <c r="B1085" s="2"/>
      <c r="C1085" s="2"/>
      <c r="D1085" s="2"/>
      <c r="E1085" s="2"/>
      <c r="F1085" s="2"/>
    </row>
    <row r="1086" spans="1:6" x14ac:dyDescent="0.3">
      <c r="A1086" s="2" t="s">
        <v>1153</v>
      </c>
      <c r="B1086" s="2"/>
      <c r="C1086" s="2"/>
      <c r="D1086" s="2"/>
      <c r="E1086" s="2"/>
      <c r="F1086" s="2"/>
    </row>
    <row r="1087" spans="1:6" x14ac:dyDescent="0.3">
      <c r="A1087" s="2" t="s">
        <v>1154</v>
      </c>
      <c r="B1087" s="2"/>
      <c r="C1087" s="2"/>
      <c r="D1087" s="2"/>
      <c r="E1087" s="2"/>
      <c r="F1087" s="2"/>
    </row>
    <row r="1088" spans="1:6" x14ac:dyDescent="0.3">
      <c r="A1088" s="2" t="s">
        <v>1155</v>
      </c>
      <c r="B1088" s="2"/>
      <c r="C1088" s="2"/>
      <c r="D1088" s="2"/>
      <c r="E1088" s="2"/>
      <c r="F1088" s="2"/>
    </row>
    <row r="1089" spans="1:6" x14ac:dyDescent="0.3">
      <c r="A1089" s="2" t="s">
        <v>1156</v>
      </c>
      <c r="B1089" s="2"/>
      <c r="C1089" s="2"/>
      <c r="D1089" s="2"/>
      <c r="E1089" s="2"/>
      <c r="F1089" s="2"/>
    </row>
    <row r="1090" spans="1:6" x14ac:dyDescent="0.3">
      <c r="A1090" s="2" t="s">
        <v>1157</v>
      </c>
      <c r="B1090" s="2"/>
      <c r="C1090" s="2"/>
      <c r="D1090" s="2"/>
      <c r="E1090" s="2"/>
      <c r="F1090" s="2"/>
    </row>
    <row r="1091" spans="1:6" x14ac:dyDescent="0.3">
      <c r="A1091" s="2" t="s">
        <v>1158</v>
      </c>
      <c r="B1091" s="2"/>
      <c r="C1091" s="2"/>
      <c r="D1091" s="2"/>
      <c r="E1091" s="2"/>
      <c r="F1091" s="2"/>
    </row>
    <row r="1092" spans="1:6" x14ac:dyDescent="0.3">
      <c r="A1092" s="2" t="s">
        <v>1159</v>
      </c>
      <c r="B1092" s="2"/>
      <c r="C1092" s="2"/>
      <c r="D1092" s="2"/>
      <c r="E1092" s="2"/>
      <c r="F1092" s="2"/>
    </row>
    <row r="1093" spans="1:6" x14ac:dyDescent="0.3">
      <c r="A1093" s="2" t="s">
        <v>1160</v>
      </c>
      <c r="B1093" s="2"/>
      <c r="C1093" s="2"/>
      <c r="D1093" s="2"/>
      <c r="E1093" s="2"/>
      <c r="F1093" s="2"/>
    </row>
    <row r="1094" spans="1:6" x14ac:dyDescent="0.3">
      <c r="A1094" s="2" t="s">
        <v>1161</v>
      </c>
      <c r="B1094" s="2"/>
      <c r="C1094" s="2"/>
      <c r="D1094" s="2"/>
      <c r="E1094" s="2"/>
      <c r="F1094" s="2"/>
    </row>
    <row r="1095" spans="1:6" x14ac:dyDescent="0.3">
      <c r="A1095" s="2" t="s">
        <v>1162</v>
      </c>
      <c r="B1095" s="2"/>
      <c r="C1095" s="2"/>
      <c r="D1095" s="2"/>
      <c r="E1095" s="2"/>
      <c r="F1095" s="2"/>
    </row>
    <row r="1096" spans="1:6" x14ac:dyDescent="0.3">
      <c r="A1096" s="2" t="s">
        <v>1163</v>
      </c>
      <c r="B1096" s="2"/>
      <c r="C1096" s="2"/>
      <c r="D1096" s="2"/>
      <c r="E1096" s="2"/>
      <c r="F1096" s="2"/>
    </row>
    <row r="1097" spans="1:6" x14ac:dyDescent="0.3">
      <c r="A1097" s="2" t="s">
        <v>1164</v>
      </c>
      <c r="B1097" s="2"/>
      <c r="C1097" s="2"/>
      <c r="D1097" s="2"/>
      <c r="E1097" s="2"/>
      <c r="F1097" s="2"/>
    </row>
    <row r="1098" spans="1:6" x14ac:dyDescent="0.3">
      <c r="A1098" s="2" t="s">
        <v>1165</v>
      </c>
      <c r="B1098" s="2"/>
      <c r="C1098" s="2"/>
      <c r="D1098" s="2"/>
      <c r="E1098" s="2"/>
      <c r="F1098" s="2"/>
    </row>
    <row r="1099" spans="1:6" x14ac:dyDescent="0.3">
      <c r="A1099" s="2" t="s">
        <v>1166</v>
      </c>
      <c r="B1099" s="2"/>
      <c r="C1099" s="2"/>
      <c r="D1099" s="2"/>
      <c r="E1099" s="2"/>
      <c r="F1099" s="2"/>
    </row>
    <row r="1100" spans="1:6" x14ac:dyDescent="0.3">
      <c r="A1100" s="2" t="s">
        <v>1167</v>
      </c>
      <c r="B1100" s="2"/>
      <c r="C1100" s="2"/>
      <c r="D1100" s="2"/>
      <c r="E1100" s="2"/>
      <c r="F1100" s="2"/>
    </row>
    <row r="1101" spans="1:6" x14ac:dyDescent="0.3">
      <c r="A1101" s="2" t="s">
        <v>1168</v>
      </c>
      <c r="B1101" s="2"/>
      <c r="C1101" s="2"/>
      <c r="D1101" s="2"/>
      <c r="E1101" s="2"/>
      <c r="F1101" s="2"/>
    </row>
    <row r="1102" spans="1:6" x14ac:dyDescent="0.3">
      <c r="A1102" s="2" t="s">
        <v>1169</v>
      </c>
      <c r="B1102" s="2"/>
      <c r="C1102" s="2"/>
      <c r="D1102" s="2"/>
      <c r="E1102" s="2"/>
      <c r="F1102" s="2"/>
    </row>
    <row r="1103" spans="1:6" x14ac:dyDescent="0.3">
      <c r="A1103" s="2" t="s">
        <v>1170</v>
      </c>
      <c r="B1103" s="2"/>
      <c r="C1103" s="2"/>
      <c r="D1103" s="2"/>
      <c r="E1103" s="2"/>
      <c r="F1103" s="2"/>
    </row>
    <row r="1104" spans="1:6" x14ac:dyDescent="0.3">
      <c r="A1104" s="2" t="s">
        <v>1171</v>
      </c>
      <c r="B1104" s="2"/>
      <c r="C1104" s="2"/>
      <c r="D1104" s="2"/>
      <c r="E1104" s="2"/>
      <c r="F1104" s="2"/>
    </row>
    <row r="1105" spans="1:6" x14ac:dyDescent="0.3">
      <c r="A1105" s="2" t="s">
        <v>1172</v>
      </c>
      <c r="B1105" s="2"/>
      <c r="C1105" s="2"/>
      <c r="D1105" s="2"/>
      <c r="E1105" s="2"/>
      <c r="F1105" s="2"/>
    </row>
    <row r="1106" spans="1:6" x14ac:dyDescent="0.3">
      <c r="A1106" s="2" t="s">
        <v>1173</v>
      </c>
      <c r="B1106" s="2"/>
      <c r="C1106" s="2"/>
      <c r="D1106" s="2"/>
      <c r="E1106" s="2"/>
      <c r="F1106" s="2"/>
    </row>
    <row r="1107" spans="1:6" x14ac:dyDescent="0.3">
      <c r="A1107" s="2" t="s">
        <v>1174</v>
      </c>
      <c r="B1107" s="2"/>
      <c r="C1107" s="2"/>
      <c r="D1107" s="2"/>
      <c r="E1107" s="2"/>
      <c r="F1107" s="2"/>
    </row>
    <row r="1108" spans="1:6" x14ac:dyDescent="0.3">
      <c r="A1108" s="2" t="s">
        <v>1175</v>
      </c>
      <c r="B1108" s="2"/>
      <c r="C1108" s="2"/>
      <c r="D1108" s="2"/>
      <c r="E1108" s="2"/>
      <c r="F1108" s="2"/>
    </row>
    <row r="1109" spans="1:6" x14ac:dyDescent="0.3">
      <c r="A1109" s="2" t="s">
        <v>1176</v>
      </c>
      <c r="B1109" s="2"/>
      <c r="C1109" s="2"/>
      <c r="D1109" s="2"/>
      <c r="E1109" s="2"/>
      <c r="F1109" s="2"/>
    </row>
    <row r="1110" spans="1:6" x14ac:dyDescent="0.3">
      <c r="A1110" s="2" t="s">
        <v>1177</v>
      </c>
      <c r="B1110" s="2"/>
      <c r="C1110" s="2"/>
      <c r="D1110" s="2"/>
      <c r="E1110" s="2"/>
      <c r="F1110" s="2"/>
    </row>
    <row r="1111" spans="1:6" x14ac:dyDescent="0.3">
      <c r="A1111" s="2" t="s">
        <v>1178</v>
      </c>
      <c r="B1111" s="2"/>
      <c r="C1111" s="2"/>
      <c r="D1111" s="2"/>
      <c r="E1111" s="2"/>
      <c r="F1111" s="2"/>
    </row>
    <row r="1112" spans="1:6" x14ac:dyDescent="0.3">
      <c r="A1112" s="2" t="s">
        <v>1179</v>
      </c>
      <c r="B1112" s="2"/>
      <c r="C1112" s="2"/>
      <c r="D1112" s="2"/>
      <c r="E1112" s="2"/>
      <c r="F1112" s="2"/>
    </row>
    <row r="1113" spans="1:6" x14ac:dyDescent="0.3">
      <c r="A1113" s="2" t="s">
        <v>1180</v>
      </c>
      <c r="B1113" s="2"/>
      <c r="C1113" s="2"/>
      <c r="D1113" s="2"/>
      <c r="E1113" s="2"/>
      <c r="F1113" s="2"/>
    </row>
    <row r="1114" spans="1:6" x14ac:dyDescent="0.3">
      <c r="A1114" s="2" t="s">
        <v>1181</v>
      </c>
      <c r="B1114" s="2"/>
      <c r="C1114" s="2"/>
      <c r="D1114" s="2"/>
      <c r="E1114" s="2"/>
      <c r="F1114" s="2"/>
    </row>
    <row r="1115" spans="1:6" x14ac:dyDescent="0.3">
      <c r="A1115" s="2" t="s">
        <v>1182</v>
      </c>
      <c r="B1115" s="2"/>
      <c r="C1115" s="2"/>
      <c r="D1115" s="2"/>
      <c r="E1115" s="2"/>
      <c r="F1115" s="2"/>
    </row>
    <row r="1116" spans="1:6" x14ac:dyDescent="0.3">
      <c r="A1116" s="2" t="s">
        <v>1183</v>
      </c>
      <c r="B1116" s="2"/>
      <c r="C1116" s="2"/>
      <c r="D1116" s="2"/>
      <c r="E1116" s="2"/>
      <c r="F1116" s="2"/>
    </row>
    <row r="1117" spans="1:6" x14ac:dyDescent="0.3">
      <c r="A1117" s="2" t="s">
        <v>1184</v>
      </c>
      <c r="B1117" s="2"/>
      <c r="C1117" s="2"/>
      <c r="D1117" s="2"/>
      <c r="E1117" s="2"/>
      <c r="F1117" s="2"/>
    </row>
    <row r="1118" spans="1:6" x14ac:dyDescent="0.3">
      <c r="A1118" s="2" t="s">
        <v>1185</v>
      </c>
      <c r="B1118" s="2"/>
      <c r="C1118" s="2"/>
      <c r="D1118" s="2"/>
      <c r="E1118" s="2"/>
      <c r="F1118" s="2"/>
    </row>
    <row r="1119" spans="1:6" x14ac:dyDescent="0.3">
      <c r="A1119" s="2" t="s">
        <v>1186</v>
      </c>
      <c r="B1119" s="2"/>
      <c r="C1119" s="2"/>
      <c r="D1119" s="2"/>
      <c r="E1119" s="2"/>
      <c r="F1119" s="2"/>
    </row>
    <row r="1120" spans="1:6" x14ac:dyDescent="0.3">
      <c r="A1120" s="2" t="s">
        <v>1187</v>
      </c>
      <c r="B1120" s="2"/>
      <c r="C1120" s="2"/>
      <c r="D1120" s="2"/>
      <c r="E1120" s="2"/>
      <c r="F1120" s="2"/>
    </row>
    <row r="1121" spans="1:6" x14ac:dyDescent="0.3">
      <c r="A1121" s="2" t="s">
        <v>1188</v>
      </c>
      <c r="B1121" s="2"/>
      <c r="C1121" s="2"/>
      <c r="D1121" s="2"/>
      <c r="E1121" s="2"/>
      <c r="F1121" s="2"/>
    </row>
    <row r="1122" spans="1:6" x14ac:dyDescent="0.3">
      <c r="A1122" s="2" t="s">
        <v>1189</v>
      </c>
      <c r="B1122" s="2"/>
      <c r="C1122" s="2"/>
      <c r="D1122" s="2"/>
      <c r="E1122" s="2"/>
      <c r="F1122" s="2"/>
    </row>
    <row r="1123" spans="1:6" x14ac:dyDescent="0.3">
      <c r="A1123" s="2" t="s">
        <v>1190</v>
      </c>
      <c r="B1123" s="2"/>
      <c r="C1123" s="2"/>
      <c r="D1123" s="2"/>
      <c r="E1123" s="2"/>
      <c r="F1123" s="2"/>
    </row>
    <row r="1124" spans="1:6" x14ac:dyDescent="0.3">
      <c r="A1124" s="2" t="s">
        <v>1191</v>
      </c>
      <c r="B1124" s="2"/>
      <c r="C1124" s="2"/>
      <c r="D1124" s="2"/>
      <c r="E1124" s="2"/>
      <c r="F1124" s="2"/>
    </row>
    <row r="1125" spans="1:6" x14ac:dyDescent="0.3">
      <c r="A1125" s="2" t="s">
        <v>1192</v>
      </c>
      <c r="B1125" s="2"/>
      <c r="C1125" s="2"/>
      <c r="D1125" s="2"/>
      <c r="E1125" s="2"/>
      <c r="F1125" s="2"/>
    </row>
    <row r="1126" spans="1:6" x14ac:dyDescent="0.3">
      <c r="A1126" s="2" t="s">
        <v>1193</v>
      </c>
      <c r="B1126" s="2"/>
      <c r="C1126" s="2"/>
      <c r="D1126" s="2"/>
      <c r="E1126" s="2"/>
      <c r="F1126" s="2"/>
    </row>
    <row r="1127" spans="1:6" x14ac:dyDescent="0.3">
      <c r="A1127" s="2" t="s">
        <v>1194</v>
      </c>
      <c r="B1127" s="2"/>
      <c r="C1127" s="2"/>
      <c r="D1127" s="2"/>
      <c r="E1127" s="2"/>
      <c r="F1127" s="2"/>
    </row>
    <row r="1128" spans="1:6" x14ac:dyDescent="0.3">
      <c r="A1128" s="2" t="s">
        <v>1195</v>
      </c>
      <c r="B1128" s="2"/>
      <c r="C1128" s="2"/>
      <c r="D1128" s="2"/>
      <c r="E1128" s="2"/>
      <c r="F1128" s="2"/>
    </row>
    <row r="1129" spans="1:6" x14ac:dyDescent="0.3">
      <c r="A1129" s="2" t="s">
        <v>1196</v>
      </c>
      <c r="B1129" s="2"/>
      <c r="C1129" s="2"/>
      <c r="D1129" s="2"/>
      <c r="E1129" s="2"/>
      <c r="F1129" s="2"/>
    </row>
    <row r="1130" spans="1:6" x14ac:dyDescent="0.3">
      <c r="A1130" s="2" t="s">
        <v>1197</v>
      </c>
      <c r="B1130" s="2"/>
      <c r="C1130" s="2"/>
      <c r="D1130" s="2"/>
      <c r="E1130" s="2"/>
      <c r="F1130" s="2"/>
    </row>
    <row r="1131" spans="1:6" x14ac:dyDescent="0.3">
      <c r="A1131" s="2" t="s">
        <v>1198</v>
      </c>
      <c r="B1131" s="2"/>
      <c r="C1131" s="2"/>
      <c r="D1131" s="2"/>
      <c r="E1131" s="2"/>
      <c r="F1131" s="2"/>
    </row>
    <row r="1132" spans="1:6" x14ac:dyDescent="0.3">
      <c r="A1132" s="2" t="s">
        <v>1199</v>
      </c>
      <c r="B1132" s="2"/>
      <c r="C1132" s="2"/>
      <c r="D1132" s="2"/>
      <c r="E1132" s="2"/>
      <c r="F1132" s="2"/>
    </row>
    <row r="1133" spans="1:6" x14ac:dyDescent="0.3">
      <c r="A1133" s="2" t="s">
        <v>1200</v>
      </c>
      <c r="B1133" s="2"/>
      <c r="C1133" s="2"/>
      <c r="D1133" s="2"/>
      <c r="E1133" s="2"/>
      <c r="F1133" s="2"/>
    </row>
    <row r="1134" spans="1:6" x14ac:dyDescent="0.3">
      <c r="A1134" s="2" t="s">
        <v>1201</v>
      </c>
      <c r="B1134" s="2"/>
      <c r="C1134" s="2"/>
      <c r="D1134" s="2"/>
      <c r="E1134" s="2"/>
      <c r="F1134" s="2"/>
    </row>
    <row r="1135" spans="1:6" x14ac:dyDescent="0.3">
      <c r="A1135" s="2" t="s">
        <v>1202</v>
      </c>
      <c r="B1135" s="2"/>
      <c r="C1135" s="2"/>
      <c r="D1135" s="2"/>
      <c r="E1135" s="2"/>
      <c r="F1135" s="2"/>
    </row>
    <row r="1136" spans="1:6" x14ac:dyDescent="0.3">
      <c r="A1136" s="2" t="s">
        <v>1203</v>
      </c>
      <c r="B1136" s="2"/>
      <c r="C1136" s="2"/>
      <c r="D1136" s="2"/>
      <c r="E1136" s="2"/>
      <c r="F1136" s="2"/>
    </row>
    <row r="1137" spans="1:6" x14ac:dyDescent="0.3">
      <c r="A1137" s="2" t="s">
        <v>1204</v>
      </c>
      <c r="B1137" s="2"/>
      <c r="C1137" s="2"/>
      <c r="D1137" s="2"/>
      <c r="E1137" s="2"/>
      <c r="F1137" s="2"/>
    </row>
    <row r="1138" spans="1:6" x14ac:dyDescent="0.3">
      <c r="A1138" s="2" t="s">
        <v>1205</v>
      </c>
      <c r="B1138" s="2"/>
      <c r="C1138" s="2"/>
      <c r="D1138" s="2"/>
      <c r="E1138" s="2"/>
      <c r="F1138" s="2"/>
    </row>
    <row r="1139" spans="1:6" x14ac:dyDescent="0.3">
      <c r="A1139" s="2" t="s">
        <v>1206</v>
      </c>
      <c r="B1139" s="2"/>
      <c r="C1139" s="2"/>
      <c r="D1139" s="2"/>
      <c r="E1139" s="2"/>
      <c r="F1139" s="2"/>
    </row>
    <row r="1140" spans="1:6" x14ac:dyDescent="0.3">
      <c r="A1140" s="2" t="s">
        <v>1207</v>
      </c>
      <c r="B1140" s="2"/>
      <c r="C1140" s="2"/>
      <c r="D1140" s="2"/>
      <c r="E1140" s="2"/>
      <c r="F1140" s="2"/>
    </row>
    <row r="1141" spans="1:6" x14ac:dyDescent="0.3">
      <c r="A1141" s="2" t="s">
        <v>1208</v>
      </c>
      <c r="B1141" s="2"/>
      <c r="C1141" s="2"/>
      <c r="D1141" s="2"/>
      <c r="E1141" s="2"/>
      <c r="F1141" s="2"/>
    </row>
    <row r="1142" spans="1:6" x14ac:dyDescent="0.3">
      <c r="A1142" s="2" t="s">
        <v>1209</v>
      </c>
      <c r="B1142" s="2"/>
      <c r="C1142" s="2"/>
      <c r="D1142" s="2"/>
      <c r="E1142" s="2"/>
      <c r="F1142" s="2"/>
    </row>
    <row r="1143" spans="1:6" x14ac:dyDescent="0.3">
      <c r="A1143" s="2" t="s">
        <v>1210</v>
      </c>
      <c r="B1143" s="2"/>
      <c r="C1143" s="2"/>
      <c r="D1143" s="2"/>
      <c r="E1143" s="2"/>
      <c r="F1143" s="2"/>
    </row>
    <row r="1144" spans="1:6" x14ac:dyDescent="0.3">
      <c r="A1144" s="2" t="s">
        <v>1211</v>
      </c>
      <c r="B1144" s="2"/>
      <c r="C1144" s="2"/>
      <c r="D1144" s="2"/>
      <c r="E1144" s="2"/>
      <c r="F1144" s="2"/>
    </row>
    <row r="1145" spans="1:6" x14ac:dyDescent="0.3">
      <c r="A1145" s="2" t="s">
        <v>1212</v>
      </c>
      <c r="B1145" s="2"/>
      <c r="C1145" s="2"/>
      <c r="D1145" s="2"/>
      <c r="E1145" s="2"/>
      <c r="F1145" s="2"/>
    </row>
    <row r="1146" spans="1:6" x14ac:dyDescent="0.3">
      <c r="A1146" s="2" t="s">
        <v>1213</v>
      </c>
      <c r="B1146" s="2"/>
      <c r="C1146" s="2"/>
      <c r="D1146" s="2"/>
      <c r="E1146" s="2"/>
      <c r="F1146" s="2"/>
    </row>
    <row r="1147" spans="1:6" x14ac:dyDescent="0.3">
      <c r="A1147" s="2" t="s">
        <v>1214</v>
      </c>
      <c r="B1147" s="2"/>
      <c r="C1147" s="2"/>
      <c r="D1147" s="2"/>
      <c r="E1147" s="2"/>
      <c r="F1147" s="2"/>
    </row>
    <row r="1148" spans="1:6" x14ac:dyDescent="0.3">
      <c r="A1148" s="2" t="s">
        <v>1215</v>
      </c>
      <c r="B1148" s="2"/>
      <c r="C1148" s="2"/>
      <c r="D1148" s="2"/>
      <c r="E1148" s="2"/>
      <c r="F1148" s="2"/>
    </row>
    <row r="1149" spans="1:6" x14ac:dyDescent="0.3">
      <c r="A1149" s="2" t="s">
        <v>1216</v>
      </c>
      <c r="B1149" s="2"/>
      <c r="C1149" s="2"/>
      <c r="D1149" s="2"/>
      <c r="E1149" s="2"/>
      <c r="F1149" s="2"/>
    </row>
    <row r="1150" spans="1:6" x14ac:dyDescent="0.3">
      <c r="A1150" s="2" t="s">
        <v>1217</v>
      </c>
      <c r="B1150" s="2"/>
      <c r="C1150" s="2"/>
      <c r="D1150" s="2"/>
      <c r="E1150" s="2"/>
      <c r="F1150" s="2"/>
    </row>
    <row r="1151" spans="1:6" x14ac:dyDescent="0.3">
      <c r="A1151" s="2" t="s">
        <v>1218</v>
      </c>
      <c r="B1151" s="2"/>
      <c r="C1151" s="2"/>
      <c r="D1151" s="2"/>
      <c r="E1151" s="2"/>
      <c r="F1151" s="2"/>
    </row>
    <row r="1152" spans="1:6" x14ac:dyDescent="0.3">
      <c r="A1152" s="2" t="s">
        <v>1219</v>
      </c>
      <c r="B1152" s="2"/>
      <c r="C1152" s="2"/>
      <c r="D1152" s="2"/>
      <c r="E1152" s="2"/>
      <c r="F1152" s="2"/>
    </row>
    <row r="1153" spans="1:6" x14ac:dyDescent="0.3">
      <c r="A1153" s="2" t="s">
        <v>1220</v>
      </c>
      <c r="B1153" s="2"/>
      <c r="C1153" s="2"/>
      <c r="D1153" s="2"/>
      <c r="E1153" s="2"/>
      <c r="F1153" s="2"/>
    </row>
    <row r="1154" spans="1:6" x14ac:dyDescent="0.3">
      <c r="A1154" s="2" t="s">
        <v>1221</v>
      </c>
      <c r="B1154" s="2"/>
      <c r="C1154" s="2"/>
      <c r="D1154" s="2"/>
      <c r="E1154" s="2"/>
      <c r="F1154" s="2"/>
    </row>
    <row r="1155" spans="1:6" x14ac:dyDescent="0.3">
      <c r="A1155" s="2" t="s">
        <v>1222</v>
      </c>
      <c r="B1155" s="2"/>
      <c r="C1155" s="2"/>
      <c r="D1155" s="2"/>
      <c r="E1155" s="2"/>
      <c r="F1155" s="2"/>
    </row>
    <row r="1156" spans="1:6" x14ac:dyDescent="0.3">
      <c r="A1156" s="2" t="s">
        <v>1223</v>
      </c>
      <c r="B1156" s="2"/>
      <c r="C1156" s="2"/>
      <c r="D1156" s="2"/>
      <c r="E1156" s="2"/>
      <c r="F1156" s="2"/>
    </row>
    <row r="1157" spans="1:6" x14ac:dyDescent="0.3">
      <c r="A1157" s="2" t="s">
        <v>1224</v>
      </c>
      <c r="B1157" s="2"/>
      <c r="C1157" s="2"/>
      <c r="D1157" s="2"/>
      <c r="E1157" s="2"/>
      <c r="F1157" s="2"/>
    </row>
    <row r="1158" spans="1:6" x14ac:dyDescent="0.3">
      <c r="A1158" s="2" t="s">
        <v>1225</v>
      </c>
      <c r="B1158" s="2"/>
      <c r="C1158" s="2"/>
      <c r="D1158" s="2"/>
      <c r="E1158" s="2"/>
      <c r="F1158" s="2"/>
    </row>
    <row r="1159" spans="1:6" x14ac:dyDescent="0.3">
      <c r="A1159" s="2" t="s">
        <v>1226</v>
      </c>
      <c r="B1159" s="2"/>
      <c r="C1159" s="2"/>
      <c r="D1159" s="2"/>
      <c r="E1159" s="2"/>
      <c r="F1159" s="2"/>
    </row>
    <row r="1160" spans="1:6" x14ac:dyDescent="0.3">
      <c r="A1160" s="2" t="s">
        <v>1227</v>
      </c>
      <c r="B1160" s="2"/>
      <c r="C1160" s="2"/>
      <c r="D1160" s="2"/>
      <c r="E1160" s="2"/>
      <c r="F1160" s="2"/>
    </row>
    <row r="1161" spans="1:6" x14ac:dyDescent="0.3">
      <c r="A1161" s="2" t="s">
        <v>1228</v>
      </c>
      <c r="B1161" s="2"/>
      <c r="C1161" s="2"/>
      <c r="D1161" s="2"/>
      <c r="E1161" s="2"/>
      <c r="F1161" s="2"/>
    </row>
    <row r="1162" spans="1:6" x14ac:dyDescent="0.3">
      <c r="A1162" s="2" t="s">
        <v>1229</v>
      </c>
      <c r="B1162" s="2"/>
      <c r="C1162" s="2"/>
      <c r="D1162" s="2"/>
      <c r="E1162" s="2"/>
      <c r="F1162" s="2"/>
    </row>
    <row r="1163" spans="1:6" x14ac:dyDescent="0.3">
      <c r="A1163" s="2" t="s">
        <v>1230</v>
      </c>
      <c r="B1163" s="2"/>
      <c r="C1163" s="2"/>
      <c r="D1163" s="2"/>
      <c r="E1163" s="2"/>
      <c r="F1163" s="2"/>
    </row>
    <row r="1164" spans="1:6" x14ac:dyDescent="0.3">
      <c r="A1164" s="2" t="s">
        <v>1231</v>
      </c>
      <c r="B1164" s="2"/>
      <c r="C1164" s="2"/>
      <c r="D1164" s="2"/>
      <c r="E1164" s="2"/>
      <c r="F1164" s="2"/>
    </row>
    <row r="1165" spans="1:6" x14ac:dyDescent="0.3">
      <c r="A1165" s="2" t="s">
        <v>1232</v>
      </c>
      <c r="B1165" s="2"/>
      <c r="C1165" s="2"/>
      <c r="D1165" s="2"/>
      <c r="E1165" s="2"/>
      <c r="F1165" s="2"/>
    </row>
    <row r="1166" spans="1:6" x14ac:dyDescent="0.3">
      <c r="A1166" s="2" t="s">
        <v>1233</v>
      </c>
      <c r="B1166" s="2"/>
      <c r="C1166" s="2"/>
      <c r="D1166" s="2"/>
      <c r="E1166" s="2"/>
      <c r="F1166" s="2"/>
    </row>
    <row r="1167" spans="1:6" x14ac:dyDescent="0.3">
      <c r="A1167" s="2" t="s">
        <v>1234</v>
      </c>
      <c r="B1167" s="2"/>
      <c r="C1167" s="2"/>
      <c r="D1167" s="2"/>
      <c r="E1167" s="2"/>
      <c r="F1167" s="2"/>
    </row>
    <row r="1168" spans="1:6" x14ac:dyDescent="0.3">
      <c r="A1168" s="2" t="s">
        <v>1235</v>
      </c>
      <c r="B1168" s="2"/>
      <c r="C1168" s="2"/>
      <c r="D1168" s="2"/>
      <c r="E1168" s="2"/>
      <c r="F1168" s="2"/>
    </row>
    <row r="1169" spans="1:6" x14ac:dyDescent="0.3">
      <c r="A1169" s="2" t="s">
        <v>1236</v>
      </c>
      <c r="B1169" s="2"/>
      <c r="C1169" s="2"/>
      <c r="D1169" s="2"/>
      <c r="E1169" s="2"/>
      <c r="F1169" s="2"/>
    </row>
    <row r="1170" spans="1:6" x14ac:dyDescent="0.3">
      <c r="A1170" s="2" t="s">
        <v>1237</v>
      </c>
      <c r="B1170" s="2"/>
      <c r="C1170" s="2"/>
      <c r="D1170" s="2"/>
      <c r="E1170" s="2"/>
      <c r="F1170" s="2"/>
    </row>
    <row r="1171" spans="1:6" x14ac:dyDescent="0.3">
      <c r="A1171" s="2" t="s">
        <v>1238</v>
      </c>
      <c r="B1171" s="2"/>
      <c r="C1171" s="2"/>
      <c r="D1171" s="2"/>
      <c r="E1171" s="2"/>
      <c r="F1171" s="2"/>
    </row>
    <row r="1172" spans="1:6" x14ac:dyDescent="0.3">
      <c r="A1172" s="2" t="s">
        <v>1239</v>
      </c>
      <c r="B1172" s="2"/>
      <c r="C1172" s="2"/>
      <c r="D1172" s="2"/>
      <c r="E1172" s="2"/>
      <c r="F1172" s="2"/>
    </row>
    <row r="1173" spans="1:6" x14ac:dyDescent="0.3">
      <c r="A1173" s="2" t="s">
        <v>1240</v>
      </c>
      <c r="B1173" s="2"/>
      <c r="C1173" s="2"/>
      <c r="D1173" s="2"/>
      <c r="E1173" s="2"/>
      <c r="F1173" s="2"/>
    </row>
    <row r="1174" spans="1:6" x14ac:dyDescent="0.3">
      <c r="A1174" s="2" t="s">
        <v>1241</v>
      </c>
      <c r="B1174" s="2"/>
      <c r="C1174" s="2"/>
      <c r="D1174" s="2"/>
      <c r="E1174" s="2"/>
      <c r="F1174" s="2"/>
    </row>
    <row r="1175" spans="1:6" x14ac:dyDescent="0.3">
      <c r="A1175" s="2" t="s">
        <v>1242</v>
      </c>
      <c r="B1175" s="2"/>
      <c r="C1175" s="2"/>
      <c r="D1175" s="2"/>
      <c r="E1175" s="2"/>
      <c r="F1175" s="2"/>
    </row>
    <row r="1176" spans="1:6" x14ac:dyDescent="0.3">
      <c r="A1176" s="2" t="s">
        <v>1243</v>
      </c>
      <c r="B1176" s="2"/>
      <c r="C1176" s="2"/>
      <c r="D1176" s="2"/>
      <c r="E1176" s="2"/>
      <c r="F1176" s="2"/>
    </row>
    <row r="1177" spans="1:6" x14ac:dyDescent="0.3">
      <c r="A1177" s="2" t="s">
        <v>1244</v>
      </c>
      <c r="B1177" s="2"/>
      <c r="C1177" s="2"/>
      <c r="D1177" s="2"/>
      <c r="E1177" s="2"/>
      <c r="F1177" s="2"/>
    </row>
    <row r="1178" spans="1:6" x14ac:dyDescent="0.3">
      <c r="A1178" s="2" t="s">
        <v>1245</v>
      </c>
      <c r="B1178" s="2"/>
      <c r="C1178" s="2"/>
      <c r="D1178" s="2"/>
      <c r="E1178" s="2"/>
      <c r="F1178" s="2"/>
    </row>
    <row r="1179" spans="1:6" x14ac:dyDescent="0.3">
      <c r="A1179" s="2" t="s">
        <v>1246</v>
      </c>
      <c r="B1179" s="2"/>
      <c r="C1179" s="2"/>
      <c r="D1179" s="2"/>
      <c r="E1179" s="2"/>
      <c r="F1179" s="2"/>
    </row>
    <row r="1180" spans="1:6" x14ac:dyDescent="0.3">
      <c r="A1180" s="2" t="s">
        <v>1247</v>
      </c>
      <c r="B1180" s="2"/>
      <c r="C1180" s="2"/>
      <c r="D1180" s="2"/>
      <c r="E1180" s="2"/>
      <c r="F1180" s="2"/>
    </row>
    <row r="1181" spans="1:6" x14ac:dyDescent="0.3">
      <c r="A1181" s="2" t="s">
        <v>1248</v>
      </c>
      <c r="B1181" s="2"/>
      <c r="C1181" s="2"/>
      <c r="D1181" s="2"/>
      <c r="E1181" s="2"/>
      <c r="F1181" s="2"/>
    </row>
    <row r="1182" spans="1:6" x14ac:dyDescent="0.3">
      <c r="A1182" s="2" t="s">
        <v>1249</v>
      </c>
      <c r="B1182" s="2"/>
      <c r="C1182" s="2"/>
      <c r="D1182" s="2"/>
      <c r="E1182" s="2"/>
      <c r="F1182" s="2"/>
    </row>
    <row r="1183" spans="1:6" x14ac:dyDescent="0.3">
      <c r="A1183" s="2" t="s">
        <v>1250</v>
      </c>
      <c r="B1183" s="2"/>
      <c r="C1183" s="2"/>
      <c r="D1183" s="2"/>
      <c r="E1183" s="2"/>
      <c r="F1183" s="2"/>
    </row>
    <row r="1184" spans="1:6" x14ac:dyDescent="0.3">
      <c r="A1184" s="2" t="s">
        <v>1251</v>
      </c>
      <c r="B1184" s="2"/>
      <c r="C1184" s="2"/>
      <c r="D1184" s="2"/>
      <c r="E1184" s="2"/>
      <c r="F1184" s="2"/>
    </row>
    <row r="1185" spans="1:6" x14ac:dyDescent="0.3">
      <c r="A1185" s="2" t="s">
        <v>1252</v>
      </c>
      <c r="B1185" s="2"/>
      <c r="C1185" s="2"/>
      <c r="D1185" s="2"/>
      <c r="E1185" s="2"/>
      <c r="F1185" s="2"/>
    </row>
    <row r="1186" spans="1:6" x14ac:dyDescent="0.3">
      <c r="A1186" s="2" t="s">
        <v>1253</v>
      </c>
      <c r="B1186" s="2"/>
      <c r="C1186" s="2"/>
      <c r="D1186" s="2"/>
      <c r="E1186" s="2"/>
      <c r="F1186" s="2"/>
    </row>
    <row r="1187" spans="1:6" x14ac:dyDescent="0.3">
      <c r="A1187" s="2" t="s">
        <v>1254</v>
      </c>
      <c r="B1187" s="2"/>
      <c r="C1187" s="2"/>
      <c r="D1187" s="2"/>
      <c r="E1187" s="2"/>
      <c r="F1187" s="2"/>
    </row>
    <row r="1188" spans="1:6" x14ac:dyDescent="0.3">
      <c r="A1188" s="2" t="s">
        <v>1255</v>
      </c>
      <c r="B1188" s="2"/>
      <c r="C1188" s="2"/>
      <c r="D1188" s="2"/>
      <c r="E1188" s="2"/>
      <c r="F1188" s="2"/>
    </row>
    <row r="1189" spans="1:6" x14ac:dyDescent="0.3">
      <c r="A1189" s="2" t="s">
        <v>1256</v>
      </c>
      <c r="B1189" s="2"/>
      <c r="C1189" s="2"/>
      <c r="D1189" s="2"/>
      <c r="E1189" s="2"/>
      <c r="F1189" s="2"/>
    </row>
    <row r="1190" spans="1:6" x14ac:dyDescent="0.3">
      <c r="A1190" s="2" t="s">
        <v>1257</v>
      </c>
      <c r="B1190" s="2"/>
      <c r="C1190" s="2"/>
      <c r="D1190" s="2"/>
      <c r="E1190" s="2"/>
      <c r="F1190" s="2"/>
    </row>
    <row r="1191" spans="1:6" x14ac:dyDescent="0.3">
      <c r="A1191" s="2" t="s">
        <v>1258</v>
      </c>
      <c r="B1191" s="2"/>
      <c r="C1191" s="2"/>
      <c r="D1191" s="2"/>
      <c r="E1191" s="2"/>
      <c r="F1191" s="2"/>
    </row>
    <row r="1192" spans="1:6" x14ac:dyDescent="0.3">
      <c r="A1192" s="2" t="s">
        <v>1259</v>
      </c>
      <c r="B1192" s="2"/>
      <c r="C1192" s="2"/>
      <c r="D1192" s="2"/>
      <c r="E1192" s="2"/>
      <c r="F1192" s="2"/>
    </row>
    <row r="1193" spans="1:6" x14ac:dyDescent="0.3">
      <c r="A1193" s="2" t="s">
        <v>1260</v>
      </c>
      <c r="B1193" s="2"/>
      <c r="C1193" s="2"/>
      <c r="D1193" s="2"/>
      <c r="E1193" s="2"/>
      <c r="F1193" s="2"/>
    </row>
    <row r="1194" spans="1:6" x14ac:dyDescent="0.3">
      <c r="A1194" s="2" t="s">
        <v>1261</v>
      </c>
      <c r="B1194" s="2"/>
      <c r="C1194" s="2"/>
      <c r="D1194" s="2"/>
      <c r="E1194" s="2"/>
      <c r="F1194" s="2"/>
    </row>
    <row r="1195" spans="1:6" x14ac:dyDescent="0.3">
      <c r="A1195" s="2" t="s">
        <v>1262</v>
      </c>
      <c r="B1195" s="2"/>
      <c r="C1195" s="2"/>
      <c r="D1195" s="2"/>
      <c r="E1195" s="2"/>
      <c r="F1195" s="2"/>
    </row>
    <row r="1196" spans="1:6" x14ac:dyDescent="0.3">
      <c r="A1196" s="2" t="s">
        <v>1263</v>
      </c>
      <c r="B1196" s="2"/>
      <c r="C1196" s="2"/>
      <c r="D1196" s="2"/>
      <c r="E1196" s="2"/>
      <c r="F1196" s="2"/>
    </row>
    <row r="1197" spans="1:6" x14ac:dyDescent="0.3">
      <c r="A1197" s="2" t="s">
        <v>1264</v>
      </c>
      <c r="B1197" s="2"/>
      <c r="C1197" s="2"/>
      <c r="D1197" s="2"/>
      <c r="E1197" s="2"/>
      <c r="F1197" s="2"/>
    </row>
    <row r="1198" spans="1:6" x14ac:dyDescent="0.3">
      <c r="A1198" s="2" t="s">
        <v>1265</v>
      </c>
      <c r="B1198" s="2"/>
      <c r="C1198" s="2"/>
      <c r="D1198" s="2"/>
      <c r="E1198" s="2"/>
      <c r="F1198" s="2"/>
    </row>
    <row r="1199" spans="1:6" x14ac:dyDescent="0.3">
      <c r="A1199" s="2" t="s">
        <v>1266</v>
      </c>
      <c r="B1199" s="2"/>
      <c r="C1199" s="2"/>
      <c r="D1199" s="2"/>
      <c r="E1199" s="2"/>
      <c r="F1199" s="2"/>
    </row>
    <row r="1200" spans="1:6" x14ac:dyDescent="0.3">
      <c r="A1200" s="2" t="s">
        <v>1267</v>
      </c>
      <c r="B1200" s="2"/>
      <c r="C1200" s="2"/>
      <c r="D1200" s="2"/>
      <c r="E1200" s="2"/>
      <c r="F1200" s="2"/>
    </row>
    <row r="1201" spans="1:6" x14ac:dyDescent="0.3">
      <c r="A1201" s="2" t="s">
        <v>1268</v>
      </c>
      <c r="B1201" s="2"/>
      <c r="C1201" s="2"/>
      <c r="D1201" s="2"/>
      <c r="E1201" s="2"/>
      <c r="F1201" s="2"/>
    </row>
    <row r="1202" spans="1:6" x14ac:dyDescent="0.3">
      <c r="A1202" s="2" t="s">
        <v>1269</v>
      </c>
      <c r="B1202" s="2"/>
      <c r="C1202" s="2"/>
      <c r="D1202" s="2"/>
      <c r="E1202" s="2"/>
      <c r="F1202" s="2"/>
    </row>
    <row r="1203" spans="1:6" x14ac:dyDescent="0.3">
      <c r="A1203" s="2" t="s">
        <v>1270</v>
      </c>
      <c r="B1203" s="2"/>
      <c r="C1203" s="2"/>
      <c r="D1203" s="2"/>
      <c r="E1203" s="2"/>
      <c r="F1203" s="2"/>
    </row>
    <row r="1204" spans="1:6" x14ac:dyDescent="0.3">
      <c r="A1204" s="2" t="s">
        <v>1271</v>
      </c>
      <c r="B1204" s="2"/>
      <c r="C1204" s="2"/>
      <c r="D1204" s="2"/>
      <c r="E1204" s="2"/>
      <c r="F1204" s="2"/>
    </row>
    <row r="1205" spans="1:6" x14ac:dyDescent="0.3">
      <c r="A1205" s="2" t="s">
        <v>1272</v>
      </c>
      <c r="B1205" s="2"/>
      <c r="C1205" s="2"/>
      <c r="D1205" s="2"/>
      <c r="E1205" s="2"/>
      <c r="F1205" s="2"/>
    </row>
    <row r="1206" spans="1:6" x14ac:dyDescent="0.3">
      <c r="A1206" s="2" t="s">
        <v>1273</v>
      </c>
      <c r="B1206" s="2"/>
      <c r="C1206" s="2"/>
      <c r="D1206" s="2"/>
      <c r="E1206" s="2"/>
      <c r="F1206" s="2"/>
    </row>
    <row r="1207" spans="1:6" x14ac:dyDescent="0.3">
      <c r="A1207" s="2" t="s">
        <v>1274</v>
      </c>
      <c r="B1207" s="2"/>
      <c r="C1207" s="2"/>
      <c r="D1207" s="2"/>
      <c r="E1207" s="2"/>
      <c r="F1207" s="2"/>
    </row>
    <row r="1208" spans="1:6" x14ac:dyDescent="0.3">
      <c r="A1208" s="2" t="s">
        <v>1275</v>
      </c>
      <c r="B1208" s="2"/>
      <c r="C1208" s="2"/>
      <c r="D1208" s="2"/>
      <c r="E1208" s="2"/>
      <c r="F1208" s="2"/>
    </row>
    <row r="1209" spans="1:6" x14ac:dyDescent="0.3">
      <c r="A1209" s="2" t="s">
        <v>1276</v>
      </c>
      <c r="B1209" s="2"/>
      <c r="C1209" s="2"/>
      <c r="D1209" s="2"/>
      <c r="E1209" s="2"/>
      <c r="F1209" s="2"/>
    </row>
    <row r="1210" spans="1:6" x14ac:dyDescent="0.3">
      <c r="A1210" s="2" t="s">
        <v>1277</v>
      </c>
      <c r="B1210" s="2"/>
      <c r="C1210" s="2"/>
      <c r="D1210" s="2"/>
      <c r="E1210" s="2"/>
      <c r="F1210" s="2"/>
    </row>
    <row r="1211" spans="1:6" x14ac:dyDescent="0.3">
      <c r="A1211" s="2" t="s">
        <v>1278</v>
      </c>
      <c r="B1211" s="2"/>
      <c r="C1211" s="2"/>
      <c r="D1211" s="2"/>
      <c r="E1211" s="2"/>
      <c r="F1211" s="2"/>
    </row>
    <row r="1212" spans="1:6" x14ac:dyDescent="0.3">
      <c r="A1212" s="2" t="s">
        <v>1279</v>
      </c>
      <c r="B1212" s="2"/>
      <c r="C1212" s="2"/>
      <c r="D1212" s="2"/>
      <c r="E1212" s="2"/>
      <c r="F1212" s="2"/>
    </row>
    <row r="1213" spans="1:6" x14ac:dyDescent="0.3">
      <c r="A1213" s="2" t="s">
        <v>1280</v>
      </c>
      <c r="B1213" s="2"/>
      <c r="C1213" s="2"/>
      <c r="D1213" s="2"/>
      <c r="E1213" s="2"/>
      <c r="F1213" s="2"/>
    </row>
    <row r="1214" spans="1:6" x14ac:dyDescent="0.3">
      <c r="A1214" s="2" t="s">
        <v>1281</v>
      </c>
      <c r="B1214" s="2"/>
      <c r="C1214" s="2"/>
      <c r="D1214" s="2"/>
      <c r="E1214" s="2"/>
      <c r="F1214" s="2"/>
    </row>
    <row r="1215" spans="1:6" x14ac:dyDescent="0.3">
      <c r="A1215" s="2" t="s">
        <v>1282</v>
      </c>
      <c r="B1215" s="2"/>
      <c r="C1215" s="2"/>
      <c r="D1215" s="2"/>
      <c r="E1215" s="2"/>
      <c r="F1215" s="2"/>
    </row>
    <row r="1216" spans="1:6" x14ac:dyDescent="0.3">
      <c r="A1216" s="2" t="s">
        <v>1283</v>
      </c>
      <c r="B1216" s="2"/>
      <c r="C1216" s="2"/>
      <c r="D1216" s="2"/>
      <c r="E1216" s="2"/>
      <c r="F1216" s="2"/>
    </row>
    <row r="1217" spans="1:6" x14ac:dyDescent="0.3">
      <c r="A1217" s="2" t="s">
        <v>1284</v>
      </c>
      <c r="B1217" s="2"/>
      <c r="C1217" s="2"/>
      <c r="D1217" s="2"/>
      <c r="E1217" s="2"/>
      <c r="F1217" s="2"/>
    </row>
    <row r="1218" spans="1:6" x14ac:dyDescent="0.3">
      <c r="A1218" s="2" t="s">
        <v>1285</v>
      </c>
      <c r="B1218" s="2"/>
      <c r="C1218" s="2"/>
      <c r="D1218" s="2"/>
      <c r="E1218" s="2"/>
      <c r="F1218" s="2"/>
    </row>
    <row r="1219" spans="1:6" x14ac:dyDescent="0.3">
      <c r="A1219" s="2" t="s">
        <v>1286</v>
      </c>
      <c r="B1219" s="2"/>
      <c r="C1219" s="2"/>
      <c r="D1219" s="2"/>
      <c r="E1219" s="2"/>
      <c r="F1219" s="2"/>
    </row>
    <row r="1220" spans="1:6" x14ac:dyDescent="0.3">
      <c r="A1220" s="2" t="s">
        <v>1287</v>
      </c>
      <c r="B1220" s="2"/>
      <c r="C1220" s="2"/>
      <c r="D1220" s="2"/>
      <c r="E1220" s="2"/>
      <c r="F1220" s="2"/>
    </row>
    <row r="1221" spans="1:6" x14ac:dyDescent="0.3">
      <c r="A1221" s="2" t="s">
        <v>1288</v>
      </c>
      <c r="B1221" s="2"/>
      <c r="C1221" s="2"/>
      <c r="D1221" s="2"/>
      <c r="E1221" s="2"/>
      <c r="F1221" s="2"/>
    </row>
    <row r="1222" spans="1:6" x14ac:dyDescent="0.3">
      <c r="A1222" s="2" t="s">
        <v>1289</v>
      </c>
      <c r="B1222" s="2"/>
      <c r="C1222" s="2"/>
      <c r="D1222" s="2"/>
      <c r="E1222" s="2"/>
      <c r="F1222" s="2"/>
    </row>
    <row r="1223" spans="1:6" x14ac:dyDescent="0.3">
      <c r="A1223" s="2" t="s">
        <v>1290</v>
      </c>
      <c r="B1223" s="2"/>
      <c r="C1223" s="2"/>
      <c r="D1223" s="2"/>
      <c r="E1223" s="2"/>
      <c r="F1223" s="2"/>
    </row>
    <row r="1224" spans="1:6" x14ac:dyDescent="0.3">
      <c r="A1224" s="2" t="s">
        <v>1291</v>
      </c>
      <c r="B1224" s="2"/>
      <c r="C1224" s="2"/>
      <c r="D1224" s="2"/>
      <c r="E1224" s="2"/>
      <c r="F1224" s="2"/>
    </row>
    <row r="1225" spans="1:6" x14ac:dyDescent="0.3">
      <c r="A1225" s="2" t="s">
        <v>1292</v>
      </c>
      <c r="B1225" s="2"/>
      <c r="C1225" s="2"/>
      <c r="D1225" s="2"/>
      <c r="E1225" s="2"/>
      <c r="F1225" s="2"/>
    </row>
    <row r="1226" spans="1:6" x14ac:dyDescent="0.3">
      <c r="A1226" s="2" t="s">
        <v>1293</v>
      </c>
      <c r="B1226" s="2"/>
      <c r="C1226" s="2"/>
      <c r="D1226" s="2"/>
      <c r="E1226" s="2"/>
      <c r="F1226" s="2"/>
    </row>
    <row r="1227" spans="1:6" x14ac:dyDescent="0.3">
      <c r="A1227" s="2" t="s">
        <v>1294</v>
      </c>
      <c r="B1227" s="2"/>
      <c r="C1227" s="2"/>
      <c r="D1227" s="2"/>
      <c r="E1227" s="2"/>
      <c r="F1227" s="2"/>
    </row>
    <row r="1228" spans="1:6" x14ac:dyDescent="0.3">
      <c r="A1228" s="2" t="s">
        <v>1295</v>
      </c>
      <c r="B1228" s="2"/>
      <c r="C1228" s="2"/>
      <c r="D1228" s="2"/>
      <c r="E1228" s="2"/>
      <c r="F1228" s="2"/>
    </row>
    <row r="1229" spans="1:6" x14ac:dyDescent="0.3">
      <c r="A1229" s="2" t="s">
        <v>1296</v>
      </c>
      <c r="B1229" s="2"/>
      <c r="C1229" s="2"/>
      <c r="D1229" s="2"/>
      <c r="E1229" s="2"/>
      <c r="F1229" s="2"/>
    </row>
    <row r="1230" spans="1:6" x14ac:dyDescent="0.3">
      <c r="A1230" s="2" t="s">
        <v>1297</v>
      </c>
      <c r="B1230" s="2"/>
      <c r="C1230" s="2"/>
      <c r="D1230" s="2"/>
      <c r="E1230" s="2"/>
      <c r="F1230" s="2"/>
    </row>
    <row r="1231" spans="1:6" x14ac:dyDescent="0.3">
      <c r="A1231" s="2" t="s">
        <v>1298</v>
      </c>
      <c r="B1231" s="2"/>
      <c r="C1231" s="2"/>
      <c r="D1231" s="2"/>
      <c r="E1231" s="2"/>
      <c r="F1231" s="2"/>
    </row>
    <row r="1232" spans="1:6" x14ac:dyDescent="0.3">
      <c r="A1232" s="2" t="s">
        <v>1299</v>
      </c>
      <c r="B1232" s="2"/>
      <c r="C1232" s="2"/>
      <c r="D1232" s="2"/>
      <c r="E1232" s="2"/>
      <c r="F1232" s="2"/>
    </row>
    <row r="1233" spans="1:6" x14ac:dyDescent="0.3">
      <c r="A1233" s="2" t="s">
        <v>1300</v>
      </c>
      <c r="B1233" s="2"/>
      <c r="C1233" s="2"/>
      <c r="D1233" s="2"/>
      <c r="E1233" s="2"/>
      <c r="F1233" s="2"/>
    </row>
    <row r="1234" spans="1:6" x14ac:dyDescent="0.3">
      <c r="A1234" s="2" t="s">
        <v>1301</v>
      </c>
      <c r="B1234" s="2"/>
      <c r="C1234" s="2"/>
      <c r="D1234" s="2"/>
      <c r="E1234" s="2"/>
      <c r="F1234" s="2"/>
    </row>
    <row r="1235" spans="1:6" x14ac:dyDescent="0.3">
      <c r="A1235" s="2" t="s">
        <v>1302</v>
      </c>
      <c r="B1235" s="2"/>
      <c r="C1235" s="2"/>
      <c r="D1235" s="2"/>
      <c r="E1235" s="2"/>
      <c r="F1235" s="2"/>
    </row>
    <row r="1236" spans="1:6" x14ac:dyDescent="0.3">
      <c r="A1236" s="2" t="s">
        <v>1303</v>
      </c>
      <c r="B1236" s="2"/>
      <c r="C1236" s="2"/>
      <c r="D1236" s="2"/>
      <c r="E1236" s="2"/>
      <c r="F1236" s="2"/>
    </row>
    <row r="1237" spans="1:6" x14ac:dyDescent="0.3">
      <c r="A1237" s="2" t="s">
        <v>1304</v>
      </c>
      <c r="B1237" s="2"/>
      <c r="C1237" s="2"/>
      <c r="D1237" s="2"/>
      <c r="E1237" s="2"/>
      <c r="F1237" s="2"/>
    </row>
    <row r="1238" spans="1:6" x14ac:dyDescent="0.3">
      <c r="A1238" s="2" t="s">
        <v>1305</v>
      </c>
      <c r="B1238" s="2"/>
      <c r="C1238" s="2"/>
      <c r="D1238" s="2"/>
      <c r="E1238" s="2"/>
      <c r="F1238" s="2"/>
    </row>
    <row r="1239" spans="1:6" x14ac:dyDescent="0.3">
      <c r="A1239" s="2" t="s">
        <v>1306</v>
      </c>
      <c r="B1239" s="2"/>
      <c r="C1239" s="2"/>
      <c r="D1239" s="2"/>
      <c r="E1239" s="2"/>
      <c r="F1239" s="2"/>
    </row>
    <row r="1240" spans="1:6" x14ac:dyDescent="0.3">
      <c r="A1240" s="2" t="s">
        <v>1307</v>
      </c>
      <c r="B1240" s="2"/>
      <c r="C1240" s="2"/>
      <c r="D1240" s="2"/>
      <c r="E1240" s="2"/>
      <c r="F1240" s="2"/>
    </row>
    <row r="1241" spans="1:6" x14ac:dyDescent="0.3">
      <c r="A1241" s="2" t="s">
        <v>1308</v>
      </c>
      <c r="B1241" s="2"/>
      <c r="C1241" s="2"/>
      <c r="D1241" s="2"/>
      <c r="E1241" s="2"/>
      <c r="F1241" s="2"/>
    </row>
    <row r="1242" spans="1:6" x14ac:dyDescent="0.3">
      <c r="A1242" s="2" t="s">
        <v>1309</v>
      </c>
      <c r="B1242" s="2"/>
      <c r="C1242" s="2"/>
      <c r="D1242" s="2"/>
      <c r="E1242" s="2"/>
      <c r="F1242" s="2"/>
    </row>
    <row r="1243" spans="1:6" x14ac:dyDescent="0.3">
      <c r="A1243" s="2" t="s">
        <v>1310</v>
      </c>
      <c r="B1243" s="2"/>
      <c r="C1243" s="2"/>
      <c r="D1243" s="2"/>
      <c r="E1243" s="2"/>
      <c r="F1243" s="2"/>
    </row>
    <row r="1244" spans="1:6" x14ac:dyDescent="0.3">
      <c r="A1244" s="2" t="s">
        <v>1311</v>
      </c>
      <c r="B1244" s="2"/>
      <c r="C1244" s="2"/>
      <c r="D1244" s="2"/>
      <c r="E1244" s="2"/>
      <c r="F1244" s="2"/>
    </row>
    <row r="1245" spans="1:6" x14ac:dyDescent="0.3">
      <c r="A1245" s="2" t="s">
        <v>1312</v>
      </c>
      <c r="B1245" s="2"/>
      <c r="C1245" s="2"/>
      <c r="D1245" s="2"/>
      <c r="E1245" s="2"/>
      <c r="F1245" s="2"/>
    </row>
    <row r="1246" spans="1:6" x14ac:dyDescent="0.3">
      <c r="A1246" s="2" t="s">
        <v>1313</v>
      </c>
      <c r="B1246" s="2"/>
      <c r="C1246" s="2"/>
      <c r="D1246" s="2"/>
      <c r="E1246" s="2"/>
      <c r="F1246" s="2"/>
    </row>
    <row r="1247" spans="1:6" x14ac:dyDescent="0.3">
      <c r="A1247" s="2" t="s">
        <v>1314</v>
      </c>
      <c r="B1247" s="2"/>
      <c r="C1247" s="2"/>
      <c r="D1247" s="2"/>
      <c r="E1247" s="2"/>
      <c r="F1247" s="2"/>
    </row>
    <row r="1248" spans="1:6" x14ac:dyDescent="0.3">
      <c r="A1248" s="2" t="s">
        <v>1315</v>
      </c>
      <c r="B1248" s="2"/>
      <c r="C1248" s="2"/>
      <c r="D1248" s="2"/>
      <c r="E1248" s="2"/>
      <c r="F1248" s="2"/>
    </row>
    <row r="1249" spans="1:6" x14ac:dyDescent="0.3">
      <c r="A1249" s="2" t="s">
        <v>1316</v>
      </c>
      <c r="B1249" s="2"/>
      <c r="C1249" s="2"/>
      <c r="D1249" s="2"/>
      <c r="E1249" s="2"/>
      <c r="F1249" s="2"/>
    </row>
    <row r="1250" spans="1:6" x14ac:dyDescent="0.3">
      <c r="A1250" s="2" t="s">
        <v>1317</v>
      </c>
      <c r="B1250" s="2"/>
      <c r="C1250" s="2"/>
      <c r="D1250" s="2"/>
      <c r="E1250" s="2"/>
      <c r="F1250" s="2"/>
    </row>
    <row r="1251" spans="1:6" x14ac:dyDescent="0.3">
      <c r="A1251" s="2" t="s">
        <v>1318</v>
      </c>
      <c r="B1251" s="2"/>
      <c r="C1251" s="2"/>
      <c r="D1251" s="2"/>
      <c r="E1251" s="2"/>
      <c r="F1251" s="2"/>
    </row>
    <row r="1252" spans="1:6" x14ac:dyDescent="0.3">
      <c r="A1252" s="2" t="s">
        <v>1319</v>
      </c>
      <c r="B1252" s="2"/>
      <c r="C1252" s="2"/>
      <c r="D1252" s="2"/>
      <c r="E1252" s="2"/>
      <c r="F1252" s="2"/>
    </row>
    <row r="1253" spans="1:6" x14ac:dyDescent="0.3">
      <c r="A1253" s="2" t="s">
        <v>1320</v>
      </c>
      <c r="B1253" s="2"/>
      <c r="C1253" s="2"/>
      <c r="D1253" s="2"/>
      <c r="E1253" s="2"/>
      <c r="F1253" s="2"/>
    </row>
    <row r="1254" spans="1:6" x14ac:dyDescent="0.3">
      <c r="A1254" s="2" t="s">
        <v>1321</v>
      </c>
      <c r="B1254" s="2"/>
      <c r="C1254" s="2"/>
      <c r="D1254" s="2"/>
      <c r="E1254" s="2"/>
      <c r="F1254" s="2"/>
    </row>
    <row r="1255" spans="1:6" x14ac:dyDescent="0.3">
      <c r="A1255" s="2" t="s">
        <v>1322</v>
      </c>
      <c r="B1255" s="2"/>
      <c r="C1255" s="2"/>
      <c r="D1255" s="2"/>
      <c r="E1255" s="2"/>
      <c r="F1255" s="2"/>
    </row>
    <row r="1256" spans="1:6" x14ac:dyDescent="0.3">
      <c r="A1256" s="2" t="s">
        <v>1323</v>
      </c>
      <c r="B1256" s="2"/>
      <c r="C1256" s="2"/>
      <c r="D1256" s="2"/>
      <c r="E1256" s="2"/>
      <c r="F1256" s="2"/>
    </row>
    <row r="1257" spans="1:6" x14ac:dyDescent="0.3">
      <c r="A1257" s="2" t="s">
        <v>1324</v>
      </c>
      <c r="B1257" s="2"/>
      <c r="C1257" s="2"/>
      <c r="D1257" s="2"/>
      <c r="E1257" s="2"/>
      <c r="F1257" s="2"/>
    </row>
    <row r="1258" spans="1:6" x14ac:dyDescent="0.3">
      <c r="A1258" s="2" t="s">
        <v>1325</v>
      </c>
      <c r="B1258" s="2"/>
      <c r="C1258" s="2"/>
      <c r="D1258" s="2"/>
      <c r="E1258" s="2"/>
      <c r="F1258" s="2"/>
    </row>
    <row r="1259" spans="1:6" x14ac:dyDescent="0.3">
      <c r="A1259" s="2" t="s">
        <v>1326</v>
      </c>
      <c r="B1259" s="2"/>
      <c r="C1259" s="2"/>
      <c r="D1259" s="2"/>
      <c r="E1259" s="2"/>
      <c r="F1259" s="2"/>
    </row>
    <row r="1260" spans="1:6" x14ac:dyDescent="0.3">
      <c r="A1260" s="2" t="s">
        <v>1327</v>
      </c>
      <c r="B1260" s="2"/>
      <c r="C1260" s="2"/>
      <c r="D1260" s="2"/>
      <c r="E1260" s="2"/>
      <c r="F1260" s="2"/>
    </row>
    <row r="1261" spans="1:6" x14ac:dyDescent="0.3">
      <c r="A1261" s="2" t="s">
        <v>1328</v>
      </c>
      <c r="B1261" s="2"/>
      <c r="C1261" s="2"/>
      <c r="D1261" s="2"/>
      <c r="E1261" s="2"/>
      <c r="F1261" s="2"/>
    </row>
    <row r="1262" spans="1:6" x14ac:dyDescent="0.3">
      <c r="A1262" s="2" t="s">
        <v>1329</v>
      </c>
      <c r="B1262" s="2"/>
      <c r="C1262" s="2"/>
      <c r="D1262" s="2"/>
      <c r="E1262" s="2"/>
      <c r="F1262" s="2"/>
    </row>
    <row r="1263" spans="1:6" x14ac:dyDescent="0.3">
      <c r="A1263" s="2" t="s">
        <v>1330</v>
      </c>
      <c r="B1263" s="2"/>
      <c r="C1263" s="2"/>
      <c r="D1263" s="2"/>
      <c r="E1263" s="2"/>
      <c r="F1263" s="2"/>
    </row>
    <row r="1264" spans="1:6" x14ac:dyDescent="0.3">
      <c r="A1264" s="2" t="s">
        <v>1331</v>
      </c>
      <c r="B1264" s="2"/>
      <c r="C1264" s="2"/>
      <c r="D1264" s="2"/>
      <c r="E1264" s="2"/>
      <c r="F1264" s="2"/>
    </row>
    <row r="1265" spans="1:6" x14ac:dyDescent="0.3">
      <c r="A1265" s="2" t="s">
        <v>1332</v>
      </c>
      <c r="B1265" s="2"/>
      <c r="C1265" s="2"/>
      <c r="D1265" s="2"/>
      <c r="E1265" s="2"/>
      <c r="F1265" s="2"/>
    </row>
    <row r="1266" spans="1:6" x14ac:dyDescent="0.3">
      <c r="A1266" s="2" t="s">
        <v>1333</v>
      </c>
      <c r="B1266" s="2"/>
      <c r="C1266" s="2"/>
      <c r="D1266" s="2"/>
      <c r="E1266" s="2"/>
      <c r="F1266" s="2"/>
    </row>
    <row r="1267" spans="1:6" x14ac:dyDescent="0.3">
      <c r="A1267" s="2" t="s">
        <v>1334</v>
      </c>
      <c r="B1267" s="2"/>
      <c r="C1267" s="2"/>
      <c r="D1267" s="2"/>
      <c r="E1267" s="2"/>
      <c r="F1267" s="2"/>
    </row>
    <row r="1268" spans="1:6" x14ac:dyDescent="0.3">
      <c r="A1268" s="2" t="s">
        <v>1335</v>
      </c>
      <c r="B1268" s="2"/>
      <c r="C1268" s="2"/>
      <c r="D1268" s="2"/>
      <c r="E1268" s="2"/>
      <c r="F1268" s="2"/>
    </row>
    <row r="1269" spans="1:6" x14ac:dyDescent="0.3">
      <c r="A1269" s="2" t="s">
        <v>1336</v>
      </c>
      <c r="B1269" s="2"/>
      <c r="C1269" s="2"/>
      <c r="D1269" s="2"/>
      <c r="E1269" s="2"/>
      <c r="F1269" s="2"/>
    </row>
    <row r="1270" spans="1:6" x14ac:dyDescent="0.3">
      <c r="A1270" s="2" t="s">
        <v>1337</v>
      </c>
      <c r="B1270" s="2"/>
      <c r="C1270" s="2"/>
      <c r="D1270" s="2"/>
      <c r="E1270" s="2"/>
      <c r="F1270" s="2"/>
    </row>
    <row r="1271" spans="1:6" x14ac:dyDescent="0.3">
      <c r="A1271" s="2" t="s">
        <v>1338</v>
      </c>
      <c r="B1271" s="2"/>
      <c r="C1271" s="2"/>
      <c r="D1271" s="2"/>
      <c r="E1271" s="2"/>
      <c r="F1271" s="2"/>
    </row>
    <row r="1272" spans="1:6" x14ac:dyDescent="0.3">
      <c r="A1272" s="2" t="s">
        <v>1339</v>
      </c>
      <c r="B1272" s="2"/>
      <c r="C1272" s="2"/>
      <c r="D1272" s="2"/>
      <c r="E1272" s="2"/>
      <c r="F1272" s="2"/>
    </row>
    <row r="1273" spans="1:6" x14ac:dyDescent="0.3">
      <c r="A1273" s="2" t="s">
        <v>1340</v>
      </c>
      <c r="B1273" s="2"/>
      <c r="C1273" s="2"/>
      <c r="D1273" s="2"/>
      <c r="E1273" s="2"/>
      <c r="F1273" s="2"/>
    </row>
    <row r="1274" spans="1:6" x14ac:dyDescent="0.3">
      <c r="A1274" s="2" t="s">
        <v>1341</v>
      </c>
      <c r="B1274" s="2"/>
      <c r="C1274" s="2"/>
      <c r="D1274" s="2"/>
      <c r="E1274" s="2"/>
      <c r="F1274" s="2"/>
    </row>
    <row r="1275" spans="1:6" x14ac:dyDescent="0.3">
      <c r="A1275" s="2" t="s">
        <v>1342</v>
      </c>
      <c r="B1275" s="2"/>
      <c r="C1275" s="2"/>
      <c r="D1275" s="2"/>
      <c r="E1275" s="2"/>
      <c r="F1275" s="2"/>
    </row>
    <row r="1276" spans="1:6" x14ac:dyDescent="0.3">
      <c r="A1276" s="2" t="s">
        <v>1343</v>
      </c>
      <c r="B1276" s="2"/>
      <c r="C1276" s="2"/>
      <c r="D1276" s="2"/>
      <c r="E1276" s="2"/>
      <c r="F1276" s="2"/>
    </row>
    <row r="1277" spans="1:6" x14ac:dyDescent="0.3">
      <c r="A1277" s="2" t="s">
        <v>1344</v>
      </c>
      <c r="B1277" s="2"/>
      <c r="C1277" s="2"/>
      <c r="D1277" s="2"/>
      <c r="E1277" s="2"/>
      <c r="F1277" s="2"/>
    </row>
    <row r="1278" spans="1:6" x14ac:dyDescent="0.3">
      <c r="A1278" s="2" t="s">
        <v>1345</v>
      </c>
      <c r="B1278" s="2"/>
      <c r="C1278" s="2"/>
      <c r="D1278" s="2"/>
      <c r="E1278" s="2"/>
      <c r="F1278" s="2"/>
    </row>
    <row r="1279" spans="1:6" x14ac:dyDescent="0.3">
      <c r="A1279" s="2" t="s">
        <v>1346</v>
      </c>
      <c r="B1279" s="2"/>
      <c r="C1279" s="2"/>
      <c r="D1279" s="2"/>
      <c r="E1279" s="2"/>
      <c r="F1279" s="2"/>
    </row>
    <row r="1280" spans="1:6" x14ac:dyDescent="0.3">
      <c r="A1280" s="2" t="s">
        <v>1347</v>
      </c>
      <c r="B1280" s="2"/>
      <c r="C1280" s="2"/>
      <c r="D1280" s="2"/>
      <c r="E1280" s="2"/>
      <c r="F1280" s="2"/>
    </row>
    <row r="1281" spans="1:6" x14ac:dyDescent="0.3">
      <c r="A1281" s="2" t="s">
        <v>1348</v>
      </c>
      <c r="B1281" s="2"/>
      <c r="C1281" s="2"/>
      <c r="D1281" s="2"/>
      <c r="E1281" s="2"/>
      <c r="F1281" s="2"/>
    </row>
    <row r="1282" spans="1:6" x14ac:dyDescent="0.3">
      <c r="A1282" s="2" t="s">
        <v>1349</v>
      </c>
      <c r="B1282" s="2"/>
      <c r="C1282" s="2"/>
      <c r="D1282" s="2"/>
      <c r="E1282" s="2"/>
      <c r="F1282" s="2"/>
    </row>
    <row r="1283" spans="1:6" x14ac:dyDescent="0.3">
      <c r="A1283" s="2" t="s">
        <v>1350</v>
      </c>
      <c r="B1283" s="2"/>
      <c r="C1283" s="2"/>
      <c r="D1283" s="2"/>
      <c r="E1283" s="2"/>
      <c r="F1283" s="2"/>
    </row>
    <row r="1284" spans="1:6" x14ac:dyDescent="0.3">
      <c r="A1284" s="2" t="s">
        <v>1351</v>
      </c>
      <c r="B1284" s="2"/>
      <c r="C1284" s="2"/>
      <c r="D1284" s="2"/>
      <c r="E1284" s="2"/>
      <c r="F1284" s="2"/>
    </row>
    <row r="1285" spans="1:6" x14ac:dyDescent="0.3">
      <c r="A1285" s="2" t="s">
        <v>1352</v>
      </c>
      <c r="B1285" s="2"/>
      <c r="C1285" s="2"/>
      <c r="D1285" s="2"/>
      <c r="E1285" s="2"/>
      <c r="F1285" s="2"/>
    </row>
    <row r="1286" spans="1:6" x14ac:dyDescent="0.3">
      <c r="A1286" s="2" t="s">
        <v>1353</v>
      </c>
      <c r="B1286" s="2"/>
      <c r="C1286" s="2"/>
      <c r="D1286" s="2"/>
      <c r="E1286" s="2"/>
      <c r="F1286" s="2"/>
    </row>
    <row r="1287" spans="1:6" x14ac:dyDescent="0.3">
      <c r="A1287" s="2" t="s">
        <v>1354</v>
      </c>
      <c r="B1287" s="2"/>
      <c r="C1287" s="2"/>
      <c r="D1287" s="2"/>
      <c r="E1287" s="2"/>
      <c r="F1287" s="2"/>
    </row>
    <row r="1288" spans="1:6" x14ac:dyDescent="0.3">
      <c r="A1288" s="2" t="s">
        <v>1355</v>
      </c>
      <c r="B1288" s="2"/>
      <c r="C1288" s="2"/>
      <c r="D1288" s="2"/>
      <c r="E1288" s="2"/>
      <c r="F1288" s="2"/>
    </row>
    <row r="1289" spans="1:6" x14ac:dyDescent="0.3">
      <c r="A1289" s="2" t="s">
        <v>1356</v>
      </c>
      <c r="B1289" s="2"/>
      <c r="C1289" s="2"/>
      <c r="D1289" s="2"/>
      <c r="E1289" s="2"/>
      <c r="F1289" s="2"/>
    </row>
    <row r="1290" spans="1:6" x14ac:dyDescent="0.3">
      <c r="A1290" s="2" t="s">
        <v>1357</v>
      </c>
      <c r="B1290" s="2"/>
      <c r="C1290" s="2"/>
      <c r="D1290" s="2"/>
      <c r="E1290" s="2"/>
      <c r="F1290" s="2"/>
    </row>
    <row r="1291" spans="1:6" x14ac:dyDescent="0.3">
      <c r="A1291" s="2" t="s">
        <v>1358</v>
      </c>
      <c r="B1291" s="2"/>
      <c r="C1291" s="2"/>
      <c r="D1291" s="2"/>
      <c r="E1291" s="2"/>
      <c r="F1291" s="2"/>
    </row>
    <row r="1292" spans="1:6" x14ac:dyDescent="0.3">
      <c r="A1292" s="2" t="s">
        <v>1359</v>
      </c>
      <c r="B1292" s="2"/>
      <c r="C1292" s="2"/>
      <c r="D1292" s="2"/>
      <c r="E1292" s="2"/>
      <c r="F1292" s="2"/>
    </row>
    <row r="1293" spans="1:6" x14ac:dyDescent="0.3">
      <c r="A1293" s="2" t="s">
        <v>1360</v>
      </c>
      <c r="B1293" s="2"/>
      <c r="C1293" s="2"/>
      <c r="D1293" s="2"/>
      <c r="E1293" s="2"/>
      <c r="F1293" s="2"/>
    </row>
    <row r="1294" spans="1:6" x14ac:dyDescent="0.3">
      <c r="A1294" s="2" t="s">
        <v>1361</v>
      </c>
      <c r="B1294" s="2"/>
      <c r="C1294" s="2"/>
      <c r="D1294" s="2"/>
      <c r="E1294" s="2"/>
      <c r="F1294" s="2"/>
    </row>
    <row r="1295" spans="1:6" x14ac:dyDescent="0.3">
      <c r="A1295" s="2" t="s">
        <v>1362</v>
      </c>
      <c r="B1295" s="2"/>
      <c r="C1295" s="2"/>
      <c r="D1295" s="2"/>
      <c r="E1295" s="2"/>
      <c r="F1295" s="2"/>
    </row>
    <row r="1296" spans="1:6" x14ac:dyDescent="0.3">
      <c r="A1296" s="2" t="s">
        <v>1363</v>
      </c>
      <c r="B1296" s="2"/>
      <c r="C1296" s="2"/>
      <c r="D1296" s="2"/>
      <c r="E1296" s="2"/>
      <c r="F1296" s="2"/>
    </row>
    <row r="1297" spans="1:6" x14ac:dyDescent="0.3">
      <c r="A1297" s="2" t="s">
        <v>1364</v>
      </c>
      <c r="B1297" s="2"/>
      <c r="C1297" s="2"/>
      <c r="D1297" s="2"/>
      <c r="E1297" s="2"/>
      <c r="F1297" s="2"/>
    </row>
    <row r="1298" spans="1:6" x14ac:dyDescent="0.3">
      <c r="A1298" s="2" t="s">
        <v>1365</v>
      </c>
      <c r="B1298" s="2"/>
      <c r="C1298" s="2"/>
      <c r="D1298" s="2"/>
      <c r="E1298" s="2"/>
      <c r="F1298" s="2"/>
    </row>
    <row r="1299" spans="1:6" x14ac:dyDescent="0.3">
      <c r="A1299" s="2" t="s">
        <v>1366</v>
      </c>
      <c r="B1299" s="2"/>
      <c r="C1299" s="2"/>
      <c r="D1299" s="2"/>
      <c r="E1299" s="2"/>
      <c r="F1299" s="2"/>
    </row>
    <row r="1300" spans="1:6" x14ac:dyDescent="0.3">
      <c r="A1300" s="2" t="s">
        <v>1367</v>
      </c>
      <c r="B1300" s="2"/>
      <c r="C1300" s="2"/>
      <c r="D1300" s="2"/>
      <c r="E1300" s="2"/>
      <c r="F1300" s="2"/>
    </row>
    <row r="1301" spans="1:6" x14ac:dyDescent="0.3">
      <c r="A1301" s="2" t="s">
        <v>1368</v>
      </c>
      <c r="B1301" s="2"/>
      <c r="C1301" s="2"/>
      <c r="D1301" s="2"/>
      <c r="E1301" s="2"/>
      <c r="F1301" s="2"/>
    </row>
    <row r="1302" spans="1:6" x14ac:dyDescent="0.3">
      <c r="A1302" s="2" t="s">
        <v>1369</v>
      </c>
      <c r="B1302" s="2"/>
      <c r="C1302" s="2"/>
      <c r="D1302" s="2"/>
      <c r="E1302" s="2"/>
      <c r="F1302" s="2"/>
    </row>
    <row r="1303" spans="1:6" x14ac:dyDescent="0.3">
      <c r="A1303" s="2" t="s">
        <v>1370</v>
      </c>
      <c r="B1303" s="2"/>
      <c r="C1303" s="2"/>
      <c r="D1303" s="2"/>
      <c r="E1303" s="2"/>
      <c r="F1303" s="2"/>
    </row>
    <row r="1304" spans="1:6" x14ac:dyDescent="0.3">
      <c r="A1304" s="2" t="s">
        <v>1371</v>
      </c>
      <c r="B1304" s="2"/>
      <c r="C1304" s="2"/>
      <c r="D1304" s="2"/>
      <c r="E1304" s="2"/>
      <c r="F1304" s="2"/>
    </row>
    <row r="1305" spans="1:6" x14ac:dyDescent="0.3">
      <c r="A1305" s="2" t="s">
        <v>1372</v>
      </c>
      <c r="B1305" s="2"/>
      <c r="C1305" s="2"/>
      <c r="D1305" s="2"/>
      <c r="E1305" s="2"/>
      <c r="F1305" s="2"/>
    </row>
    <row r="1306" spans="1:6" x14ac:dyDescent="0.3">
      <c r="A1306" s="2" t="s">
        <v>1373</v>
      </c>
      <c r="B1306" s="2"/>
      <c r="C1306" s="2"/>
      <c r="D1306" s="2"/>
      <c r="E1306" s="2"/>
      <c r="F1306" s="2"/>
    </row>
    <row r="1307" spans="1:6" x14ac:dyDescent="0.3">
      <c r="A1307" s="2" t="s">
        <v>1374</v>
      </c>
      <c r="B1307" s="2"/>
      <c r="C1307" s="2"/>
      <c r="D1307" s="2"/>
      <c r="E1307" s="2"/>
      <c r="F1307" s="2"/>
    </row>
    <row r="1308" spans="1:6" x14ac:dyDescent="0.3">
      <c r="A1308" s="2" t="s">
        <v>1375</v>
      </c>
      <c r="B1308" s="2"/>
      <c r="C1308" s="2"/>
      <c r="D1308" s="2"/>
      <c r="E1308" s="2"/>
      <c r="F1308" s="2"/>
    </row>
    <row r="1309" spans="1:6" x14ac:dyDescent="0.3">
      <c r="A1309" s="2" t="s">
        <v>1376</v>
      </c>
      <c r="B1309" s="2"/>
      <c r="C1309" s="2"/>
      <c r="D1309" s="2"/>
      <c r="E1309" s="2"/>
      <c r="F1309" s="2"/>
    </row>
    <row r="1310" spans="1:6" x14ac:dyDescent="0.3">
      <c r="A1310" s="2" t="s">
        <v>1377</v>
      </c>
      <c r="B1310" s="2"/>
      <c r="C1310" s="2"/>
      <c r="D1310" s="2"/>
      <c r="E1310" s="2"/>
      <c r="F1310" s="2"/>
    </row>
    <row r="1311" spans="1:6" x14ac:dyDescent="0.3">
      <c r="A1311" s="2" t="s">
        <v>1378</v>
      </c>
      <c r="B1311" s="2"/>
      <c r="C1311" s="2"/>
      <c r="D1311" s="2"/>
      <c r="E1311" s="2"/>
      <c r="F1311" s="2"/>
    </row>
    <row r="1312" spans="1:6" x14ac:dyDescent="0.3">
      <c r="A1312" s="2" t="s">
        <v>1379</v>
      </c>
      <c r="B1312" s="2"/>
      <c r="C1312" s="2"/>
      <c r="D1312" s="2"/>
      <c r="E1312" s="2"/>
      <c r="F1312" s="2"/>
    </row>
    <row r="1313" spans="1:6" x14ac:dyDescent="0.3">
      <c r="A1313" s="2" t="s">
        <v>1380</v>
      </c>
      <c r="B1313" s="2"/>
      <c r="C1313" s="2"/>
      <c r="D1313" s="2"/>
      <c r="E1313" s="2"/>
      <c r="F1313" s="2"/>
    </row>
    <row r="1314" spans="1:6" x14ac:dyDescent="0.3">
      <c r="A1314" s="2" t="s">
        <v>1381</v>
      </c>
      <c r="B1314" s="2"/>
      <c r="C1314" s="2"/>
      <c r="D1314" s="2"/>
      <c r="E1314" s="2"/>
      <c r="F1314" s="2"/>
    </row>
    <row r="1315" spans="1:6" x14ac:dyDescent="0.3">
      <c r="A1315" s="2" t="s">
        <v>1382</v>
      </c>
      <c r="B1315" s="2"/>
      <c r="C1315" s="2"/>
      <c r="D1315" s="2"/>
      <c r="E1315" s="2"/>
      <c r="F1315" s="2"/>
    </row>
    <row r="1316" spans="1:6" x14ac:dyDescent="0.3">
      <c r="A1316" s="2" t="s">
        <v>1383</v>
      </c>
      <c r="B1316" s="2"/>
      <c r="C1316" s="2"/>
      <c r="D1316" s="2"/>
      <c r="E1316" s="2"/>
      <c r="F1316" s="2"/>
    </row>
    <row r="1317" spans="1:6" x14ac:dyDescent="0.3">
      <c r="A1317" s="2" t="s">
        <v>1384</v>
      </c>
      <c r="B1317" s="2"/>
      <c r="C1317" s="2"/>
      <c r="D1317" s="2"/>
      <c r="E1317" s="2"/>
      <c r="F1317" s="2"/>
    </row>
    <row r="1318" spans="1:6" x14ac:dyDescent="0.3">
      <c r="A1318" s="2" t="s">
        <v>1385</v>
      </c>
      <c r="B1318" s="2"/>
      <c r="C1318" s="2"/>
      <c r="D1318" s="2"/>
      <c r="E1318" s="2"/>
      <c r="F1318" s="2"/>
    </row>
    <row r="1319" spans="1:6" x14ac:dyDescent="0.3">
      <c r="A1319" s="2" t="s">
        <v>1386</v>
      </c>
      <c r="B1319" s="2"/>
      <c r="C1319" s="2"/>
      <c r="D1319" s="2"/>
      <c r="E1319" s="2"/>
      <c r="F1319" s="2"/>
    </row>
    <row r="1320" spans="1:6" x14ac:dyDescent="0.3">
      <c r="A1320" s="2" t="s">
        <v>1387</v>
      </c>
      <c r="B1320" s="2"/>
      <c r="C1320" s="2"/>
      <c r="D1320" s="2"/>
      <c r="E1320" s="2"/>
      <c r="F1320" s="2"/>
    </row>
    <row r="1321" spans="1:6" x14ac:dyDescent="0.3">
      <c r="A1321" s="2" t="s">
        <v>1388</v>
      </c>
      <c r="B1321" s="2"/>
      <c r="C1321" s="2"/>
      <c r="D1321" s="2"/>
      <c r="E1321" s="2"/>
      <c r="F1321" s="2"/>
    </row>
    <row r="1322" spans="1:6" x14ac:dyDescent="0.3">
      <c r="A1322" s="2" t="s">
        <v>1389</v>
      </c>
      <c r="B1322" s="2"/>
      <c r="C1322" s="2"/>
      <c r="D1322" s="2"/>
      <c r="E1322" s="2"/>
      <c r="F1322" s="2"/>
    </row>
    <row r="1323" spans="1:6" x14ac:dyDescent="0.3">
      <c r="A1323" s="2" t="s">
        <v>1390</v>
      </c>
      <c r="B1323" s="2"/>
      <c r="C1323" s="2"/>
      <c r="D1323" s="2"/>
      <c r="E1323" s="2"/>
      <c r="F1323" s="2"/>
    </row>
    <row r="1324" spans="1:6" x14ac:dyDescent="0.3">
      <c r="A1324" s="2" t="s">
        <v>1391</v>
      </c>
      <c r="B1324" s="2"/>
      <c r="C1324" s="2"/>
      <c r="D1324" s="2"/>
      <c r="E1324" s="2"/>
      <c r="F1324" s="2"/>
    </row>
    <row r="1325" spans="1:6" x14ac:dyDescent="0.3">
      <c r="A1325" s="2" t="s">
        <v>1392</v>
      </c>
      <c r="B1325" s="2"/>
      <c r="C1325" s="2"/>
      <c r="D1325" s="2"/>
      <c r="E1325" s="2"/>
      <c r="F1325" s="2"/>
    </row>
    <row r="1326" spans="1:6" x14ac:dyDescent="0.3">
      <c r="A1326" s="2" t="s">
        <v>1393</v>
      </c>
      <c r="B1326" s="2"/>
      <c r="C1326" s="2"/>
      <c r="D1326" s="2"/>
      <c r="E1326" s="2"/>
      <c r="F1326" s="2"/>
    </row>
    <row r="1327" spans="1:6" x14ac:dyDescent="0.3">
      <c r="A1327" s="2" t="s">
        <v>1394</v>
      </c>
      <c r="B1327" s="2"/>
      <c r="C1327" s="2"/>
      <c r="D1327" s="2"/>
      <c r="E1327" s="2"/>
      <c r="F1327" s="2"/>
    </row>
    <row r="1328" spans="1:6" x14ac:dyDescent="0.3">
      <c r="A1328" s="2" t="s">
        <v>1395</v>
      </c>
      <c r="B1328" s="2"/>
      <c r="C1328" s="2"/>
      <c r="D1328" s="2"/>
      <c r="E1328" s="2"/>
      <c r="F1328" s="2"/>
    </row>
    <row r="1329" spans="1:6" x14ac:dyDescent="0.3">
      <c r="A1329" s="2" t="s">
        <v>1396</v>
      </c>
      <c r="B1329" s="2"/>
      <c r="C1329" s="2"/>
      <c r="D1329" s="2"/>
      <c r="E1329" s="2"/>
      <c r="F1329" s="2"/>
    </row>
    <row r="1330" spans="1:6" x14ac:dyDescent="0.3">
      <c r="A1330" s="2" t="s">
        <v>1397</v>
      </c>
      <c r="B1330" s="2"/>
      <c r="C1330" s="2"/>
      <c r="D1330" s="2"/>
      <c r="E1330" s="2"/>
      <c r="F1330" s="2"/>
    </row>
    <row r="1331" spans="1:6" x14ac:dyDescent="0.3">
      <c r="A1331" s="2" t="s">
        <v>1398</v>
      </c>
      <c r="B1331" s="2"/>
      <c r="C1331" s="2"/>
      <c r="D1331" s="2"/>
      <c r="E1331" s="2"/>
      <c r="F1331" s="2"/>
    </row>
    <row r="1332" spans="1:6" x14ac:dyDescent="0.3">
      <c r="A1332" s="2" t="s">
        <v>1399</v>
      </c>
      <c r="B1332" s="2"/>
      <c r="C1332" s="2"/>
      <c r="D1332" s="2"/>
      <c r="E1332" s="2"/>
      <c r="F1332" s="2"/>
    </row>
    <row r="1333" spans="1:6" x14ac:dyDescent="0.3">
      <c r="A1333" s="2" t="s">
        <v>1400</v>
      </c>
      <c r="B1333" s="2"/>
      <c r="C1333" s="2"/>
      <c r="D1333" s="2"/>
      <c r="E1333" s="2"/>
      <c r="F1333" s="2"/>
    </row>
    <row r="1334" spans="1:6" x14ac:dyDescent="0.3">
      <c r="A1334" s="2" t="s">
        <v>1401</v>
      </c>
      <c r="B1334" s="2"/>
      <c r="C1334" s="2"/>
      <c r="D1334" s="2"/>
      <c r="E1334" s="2"/>
      <c r="F1334" s="2"/>
    </row>
    <row r="1335" spans="1:6" x14ac:dyDescent="0.3">
      <c r="A1335" s="2" t="s">
        <v>1402</v>
      </c>
      <c r="B1335" s="2"/>
      <c r="C1335" s="2"/>
      <c r="D1335" s="2"/>
      <c r="E1335" s="2"/>
      <c r="F1335" s="2"/>
    </row>
    <row r="1336" spans="1:6" x14ac:dyDescent="0.3">
      <c r="A1336" s="2" t="s">
        <v>1403</v>
      </c>
      <c r="B1336" s="2"/>
      <c r="C1336" s="2"/>
      <c r="D1336" s="2"/>
      <c r="E1336" s="2"/>
      <c r="F1336" s="2"/>
    </row>
    <row r="1337" spans="1:6" x14ac:dyDescent="0.3">
      <c r="A1337" s="2" t="s">
        <v>1404</v>
      </c>
      <c r="B1337" s="2"/>
      <c r="C1337" s="2"/>
      <c r="D1337" s="2"/>
      <c r="E1337" s="2"/>
      <c r="F1337" s="2"/>
    </row>
    <row r="1338" spans="1:6" x14ac:dyDescent="0.3">
      <c r="A1338" s="2" t="s">
        <v>1405</v>
      </c>
      <c r="B1338" s="2"/>
      <c r="C1338" s="2"/>
      <c r="D1338" s="2"/>
      <c r="E1338" s="2"/>
      <c r="F1338" s="2"/>
    </row>
    <row r="1339" spans="1:6" x14ac:dyDescent="0.3">
      <c r="A1339" s="2" t="s">
        <v>1406</v>
      </c>
      <c r="B1339" s="2"/>
      <c r="C1339" s="2"/>
      <c r="D1339" s="2"/>
      <c r="E1339" s="2"/>
      <c r="F1339" s="2"/>
    </row>
    <row r="1340" spans="1:6" x14ac:dyDescent="0.3">
      <c r="A1340" s="2" t="s">
        <v>1407</v>
      </c>
      <c r="B1340" s="2"/>
      <c r="C1340" s="2"/>
      <c r="D1340" s="2"/>
      <c r="E1340" s="2"/>
      <c r="F1340" s="2"/>
    </row>
    <row r="1341" spans="1:6" x14ac:dyDescent="0.3">
      <c r="A1341" s="2" t="s">
        <v>1408</v>
      </c>
      <c r="B1341" s="2"/>
      <c r="C1341" s="2"/>
      <c r="D1341" s="2"/>
      <c r="E1341" s="2"/>
      <c r="F1341" s="2"/>
    </row>
    <row r="1342" spans="1:6" x14ac:dyDescent="0.3">
      <c r="A1342" s="2" t="s">
        <v>1409</v>
      </c>
      <c r="B1342" s="2"/>
      <c r="C1342" s="2"/>
      <c r="D1342" s="2"/>
      <c r="E1342" s="2"/>
      <c r="F1342" s="2"/>
    </row>
    <row r="1343" spans="1:6" x14ac:dyDescent="0.3">
      <c r="A1343" s="2" t="s">
        <v>1410</v>
      </c>
      <c r="B1343" s="2"/>
      <c r="C1343" s="2"/>
      <c r="D1343" s="2"/>
      <c r="E1343" s="2"/>
      <c r="F1343" s="2"/>
    </row>
    <row r="1344" spans="1:6" x14ac:dyDescent="0.3">
      <c r="A1344" s="2" t="s">
        <v>1411</v>
      </c>
      <c r="B1344" s="2"/>
      <c r="C1344" s="2"/>
      <c r="D1344" s="2"/>
      <c r="E1344" s="2"/>
      <c r="F1344" s="2"/>
    </row>
    <row r="1345" spans="1:6" x14ac:dyDescent="0.3">
      <c r="A1345" s="2" t="s">
        <v>1412</v>
      </c>
      <c r="B1345" s="2"/>
      <c r="C1345" s="2"/>
      <c r="D1345" s="2"/>
      <c r="E1345" s="2"/>
      <c r="F1345" s="2"/>
    </row>
    <row r="1346" spans="1:6" x14ac:dyDescent="0.3">
      <c r="A1346" s="2" t="s">
        <v>1413</v>
      </c>
      <c r="B1346" s="2"/>
      <c r="C1346" s="2"/>
      <c r="D1346" s="2"/>
      <c r="E1346" s="2"/>
      <c r="F1346" s="2"/>
    </row>
    <row r="1347" spans="1:6" x14ac:dyDescent="0.3">
      <c r="A1347" s="2" t="s">
        <v>1414</v>
      </c>
      <c r="B1347" s="2"/>
      <c r="C1347" s="2"/>
      <c r="D1347" s="2"/>
      <c r="E1347" s="2"/>
      <c r="F1347" s="2"/>
    </row>
    <row r="1348" spans="1:6" x14ac:dyDescent="0.3">
      <c r="A1348" s="2" t="s">
        <v>1415</v>
      </c>
      <c r="B1348" s="2"/>
      <c r="C1348" s="2"/>
      <c r="D1348" s="2"/>
      <c r="E1348" s="2"/>
      <c r="F1348" s="2"/>
    </row>
    <row r="1349" spans="1:6" x14ac:dyDescent="0.3">
      <c r="A1349" s="2" t="s">
        <v>1416</v>
      </c>
      <c r="B1349" s="2"/>
      <c r="C1349" s="2"/>
      <c r="D1349" s="2"/>
      <c r="E1349" s="2"/>
      <c r="F1349" s="2"/>
    </row>
    <row r="1350" spans="1:6" x14ac:dyDescent="0.3">
      <c r="A1350" s="2" t="s">
        <v>1417</v>
      </c>
      <c r="B1350" s="2"/>
      <c r="C1350" s="2"/>
      <c r="D1350" s="2"/>
      <c r="E1350" s="2"/>
      <c r="F1350" s="2"/>
    </row>
    <row r="1351" spans="1:6" x14ac:dyDescent="0.3">
      <c r="A1351" s="2" t="s">
        <v>1418</v>
      </c>
      <c r="B1351" s="2"/>
      <c r="C1351" s="2"/>
      <c r="D1351" s="2"/>
      <c r="E1351" s="2"/>
      <c r="F1351" s="2"/>
    </row>
    <row r="1352" spans="1:6" x14ac:dyDescent="0.3">
      <c r="A1352" s="2" t="s">
        <v>1419</v>
      </c>
      <c r="B1352" s="2"/>
      <c r="C1352" s="2"/>
      <c r="D1352" s="2"/>
      <c r="E1352" s="2"/>
      <c r="F1352" s="2"/>
    </row>
    <row r="1353" spans="1:6" x14ac:dyDescent="0.3">
      <c r="A1353" s="2" t="s">
        <v>1420</v>
      </c>
      <c r="B1353" s="2"/>
      <c r="C1353" s="2"/>
      <c r="D1353" s="2"/>
      <c r="E1353" s="2"/>
      <c r="F1353" s="2"/>
    </row>
    <row r="1354" spans="1:6" x14ac:dyDescent="0.3">
      <c r="A1354" s="2" t="s">
        <v>1421</v>
      </c>
      <c r="B1354" s="2"/>
      <c r="C1354" s="2"/>
      <c r="D1354" s="2"/>
      <c r="E1354" s="2"/>
      <c r="F1354" s="2"/>
    </row>
    <row r="1355" spans="1:6" x14ac:dyDescent="0.3">
      <c r="A1355" s="2" t="s">
        <v>1422</v>
      </c>
      <c r="B1355" s="2"/>
      <c r="C1355" s="2"/>
      <c r="D1355" s="2"/>
      <c r="E1355" s="2"/>
      <c r="F1355" s="2"/>
    </row>
    <row r="1356" spans="1:6" x14ac:dyDescent="0.3">
      <c r="A1356" s="2" t="s">
        <v>1423</v>
      </c>
      <c r="B1356" s="2"/>
      <c r="C1356" s="2"/>
      <c r="D1356" s="2"/>
      <c r="E1356" s="2"/>
      <c r="F1356" s="2"/>
    </row>
    <row r="1357" spans="1:6" x14ac:dyDescent="0.3">
      <c r="A1357" s="2" t="s">
        <v>1424</v>
      </c>
      <c r="B1357" s="2"/>
      <c r="C1357" s="2"/>
      <c r="D1357" s="2"/>
      <c r="E1357" s="2"/>
      <c r="F1357" s="2"/>
    </row>
    <row r="1358" spans="1:6" x14ac:dyDescent="0.3">
      <c r="A1358" s="2" t="s">
        <v>1425</v>
      </c>
      <c r="B1358" s="2"/>
      <c r="C1358" s="2"/>
      <c r="D1358" s="2"/>
      <c r="E1358" s="2"/>
      <c r="F1358" s="2"/>
    </row>
    <row r="1359" spans="1:6" x14ac:dyDescent="0.3">
      <c r="A1359" s="2" t="s">
        <v>1426</v>
      </c>
      <c r="B1359" s="2"/>
      <c r="C1359" s="2"/>
      <c r="D1359" s="2"/>
      <c r="E1359" s="2"/>
      <c r="F1359" s="2"/>
    </row>
    <row r="1360" spans="1:6" x14ac:dyDescent="0.3">
      <c r="A1360" s="2" t="s">
        <v>1427</v>
      </c>
      <c r="B1360" s="2"/>
      <c r="C1360" s="2"/>
      <c r="D1360" s="2"/>
      <c r="E1360" s="2"/>
      <c r="F1360" s="2"/>
    </row>
    <row r="1361" spans="1:6" x14ac:dyDescent="0.3">
      <c r="A1361" s="2" t="s">
        <v>1428</v>
      </c>
      <c r="B1361" s="2"/>
      <c r="C1361" s="2"/>
      <c r="D1361" s="2"/>
      <c r="E1361" s="2"/>
      <c r="F1361" s="2"/>
    </row>
    <row r="1362" spans="1:6" x14ac:dyDescent="0.3">
      <c r="A1362" s="2" t="s">
        <v>1429</v>
      </c>
      <c r="B1362" s="2"/>
      <c r="C1362" s="2"/>
      <c r="D1362" s="2"/>
      <c r="E1362" s="2"/>
      <c r="F1362" s="2"/>
    </row>
    <row r="1363" spans="1:6" x14ac:dyDescent="0.3">
      <c r="A1363" s="2" t="s">
        <v>1430</v>
      </c>
      <c r="B1363" s="2"/>
      <c r="C1363" s="2"/>
      <c r="D1363" s="2"/>
      <c r="E1363" s="2"/>
      <c r="F1363" s="2"/>
    </row>
    <row r="1364" spans="1:6" x14ac:dyDescent="0.3">
      <c r="A1364" s="2" t="s">
        <v>1431</v>
      </c>
      <c r="B1364" s="2"/>
      <c r="C1364" s="2"/>
      <c r="D1364" s="2"/>
      <c r="E1364" s="2"/>
      <c r="F1364" s="2"/>
    </row>
    <row r="1365" spans="1:6" x14ac:dyDescent="0.3">
      <c r="A1365" s="2" t="s">
        <v>1432</v>
      </c>
      <c r="B1365" s="2"/>
      <c r="C1365" s="2"/>
      <c r="D1365" s="2"/>
      <c r="E1365" s="2"/>
      <c r="F1365" s="2"/>
    </row>
    <row r="1366" spans="1:6" x14ac:dyDescent="0.3">
      <c r="A1366" s="2" t="s">
        <v>1433</v>
      </c>
      <c r="B1366" s="2"/>
      <c r="C1366" s="2"/>
      <c r="D1366" s="2"/>
      <c r="E1366" s="2"/>
      <c r="F1366" s="2"/>
    </row>
    <row r="1367" spans="1:6" x14ac:dyDescent="0.3">
      <c r="A1367" s="2" t="s">
        <v>1434</v>
      </c>
      <c r="B1367" s="2"/>
      <c r="C1367" s="2"/>
      <c r="D1367" s="2"/>
      <c r="E1367" s="2"/>
      <c r="F1367" s="2"/>
    </row>
    <row r="1368" spans="1:6" x14ac:dyDescent="0.3">
      <c r="A1368" s="2" t="s">
        <v>1435</v>
      </c>
      <c r="B1368" s="2"/>
      <c r="C1368" s="2"/>
      <c r="D1368" s="2"/>
      <c r="E1368" s="2"/>
      <c r="F1368" s="2"/>
    </row>
    <row r="1369" spans="1:6" x14ac:dyDescent="0.3">
      <c r="A1369" s="2" t="s">
        <v>1436</v>
      </c>
      <c r="B1369" s="2"/>
      <c r="C1369" s="2"/>
      <c r="D1369" s="2"/>
      <c r="E1369" s="2"/>
      <c r="F1369" s="2"/>
    </row>
    <row r="1370" spans="1:6" x14ac:dyDescent="0.3">
      <c r="A1370" s="2" t="s">
        <v>1437</v>
      </c>
      <c r="B1370" s="2"/>
      <c r="C1370" s="2"/>
      <c r="D1370" s="2"/>
      <c r="E1370" s="2"/>
      <c r="F1370" s="2"/>
    </row>
    <row r="1371" spans="1:6" x14ac:dyDescent="0.3">
      <c r="A1371" s="2" t="s">
        <v>1438</v>
      </c>
      <c r="B1371" s="2"/>
      <c r="C1371" s="2"/>
      <c r="D1371" s="2"/>
      <c r="E1371" s="2"/>
      <c r="F1371" s="2"/>
    </row>
    <row r="1372" spans="1:6" x14ac:dyDescent="0.3">
      <c r="A1372" s="2" t="s">
        <v>1439</v>
      </c>
      <c r="B1372" s="2"/>
      <c r="C1372" s="2"/>
      <c r="D1372" s="2"/>
      <c r="E1372" s="2"/>
      <c r="F1372" s="2"/>
    </row>
    <row r="1373" spans="1:6" x14ac:dyDescent="0.3">
      <c r="A1373" s="2" t="s">
        <v>1440</v>
      </c>
      <c r="B1373" s="2"/>
      <c r="C1373" s="2"/>
      <c r="D1373" s="2"/>
      <c r="E1373" s="2"/>
      <c r="F1373" s="2"/>
    </row>
    <row r="1374" spans="1:6" x14ac:dyDescent="0.3">
      <c r="A1374" s="2" t="s">
        <v>1441</v>
      </c>
      <c r="B1374" s="2"/>
      <c r="C1374" s="2"/>
      <c r="D1374" s="2"/>
      <c r="E1374" s="2"/>
      <c r="F1374" s="2"/>
    </row>
    <row r="1375" spans="1:6" x14ac:dyDescent="0.3">
      <c r="A1375" s="2" t="s">
        <v>1442</v>
      </c>
      <c r="B1375" s="2"/>
      <c r="C1375" s="2"/>
      <c r="D1375" s="2"/>
      <c r="E1375" s="2"/>
      <c r="F1375" s="2"/>
    </row>
    <row r="1376" spans="1:6" x14ac:dyDescent="0.3">
      <c r="A1376" s="2" t="s">
        <v>1443</v>
      </c>
      <c r="B1376" s="2"/>
      <c r="C1376" s="2"/>
      <c r="D1376" s="2"/>
      <c r="E1376" s="2"/>
      <c r="F1376" s="2"/>
    </row>
    <row r="1377" spans="1:6" x14ac:dyDescent="0.3">
      <c r="A1377" s="2" t="s">
        <v>1444</v>
      </c>
      <c r="B1377" s="2"/>
      <c r="C1377" s="2"/>
      <c r="D1377" s="2"/>
      <c r="E1377" s="2"/>
      <c r="F1377" s="2"/>
    </row>
    <row r="1378" spans="1:6" x14ac:dyDescent="0.3">
      <c r="A1378" s="2" t="s">
        <v>1445</v>
      </c>
      <c r="B1378" s="2"/>
      <c r="C1378" s="2"/>
      <c r="D1378" s="2"/>
      <c r="E1378" s="2"/>
      <c r="F1378" s="2"/>
    </row>
    <row r="1379" spans="1:6" x14ac:dyDescent="0.3">
      <c r="A1379" s="2" t="s">
        <v>1446</v>
      </c>
      <c r="B1379" s="2"/>
      <c r="C1379" s="2"/>
      <c r="D1379" s="2"/>
      <c r="E1379" s="2"/>
      <c r="F1379" s="2"/>
    </row>
    <row r="1380" spans="1:6" x14ac:dyDescent="0.3">
      <c r="A1380" s="2" t="s">
        <v>1447</v>
      </c>
      <c r="B1380" s="2"/>
      <c r="C1380" s="2"/>
      <c r="D1380" s="2"/>
      <c r="E1380" s="2"/>
      <c r="F1380" s="2"/>
    </row>
    <row r="1381" spans="1:6" x14ac:dyDescent="0.3">
      <c r="A1381" s="2" t="s">
        <v>1448</v>
      </c>
      <c r="B1381" s="2"/>
      <c r="C1381" s="2"/>
      <c r="D1381" s="2"/>
      <c r="E1381" s="2"/>
      <c r="F1381" s="2"/>
    </row>
    <row r="1382" spans="1:6" x14ac:dyDescent="0.3">
      <c r="A1382" s="2" t="s">
        <v>1449</v>
      </c>
      <c r="B1382" s="2"/>
      <c r="C1382" s="2"/>
      <c r="D1382" s="2"/>
      <c r="E1382" s="2"/>
      <c r="F1382" s="2"/>
    </row>
    <row r="1383" spans="1:6" x14ac:dyDescent="0.3">
      <c r="A1383" s="2" t="s">
        <v>1450</v>
      </c>
      <c r="B1383" s="2"/>
      <c r="C1383" s="2"/>
      <c r="D1383" s="2"/>
      <c r="E1383" s="2"/>
      <c r="F1383" s="2"/>
    </row>
    <row r="1384" spans="1:6" x14ac:dyDescent="0.3">
      <c r="A1384" s="2" t="s">
        <v>1451</v>
      </c>
      <c r="B1384" s="2"/>
      <c r="C1384" s="2"/>
      <c r="D1384" s="2"/>
      <c r="E1384" s="2"/>
      <c r="F1384" s="2"/>
    </row>
    <row r="1385" spans="1:6" x14ac:dyDescent="0.3">
      <c r="A1385" s="2" t="s">
        <v>1452</v>
      </c>
      <c r="B1385" s="2"/>
      <c r="C1385" s="2"/>
      <c r="D1385" s="2"/>
      <c r="E1385" s="2"/>
      <c r="F1385" s="2"/>
    </row>
    <row r="1386" spans="1:6" x14ac:dyDescent="0.3">
      <c r="A1386" s="2" t="s">
        <v>1453</v>
      </c>
      <c r="B1386" s="2"/>
      <c r="C1386" s="2"/>
      <c r="D1386" s="2"/>
      <c r="E1386" s="2"/>
      <c r="F1386" s="2"/>
    </row>
    <row r="1387" spans="1:6" x14ac:dyDescent="0.3">
      <c r="A1387" s="2" t="s">
        <v>1454</v>
      </c>
      <c r="B1387" s="2"/>
      <c r="C1387" s="2"/>
      <c r="D1387" s="2"/>
      <c r="E1387" s="2"/>
      <c r="F1387" s="2"/>
    </row>
    <row r="1388" spans="1:6" x14ac:dyDescent="0.3">
      <c r="A1388" s="2" t="s">
        <v>1455</v>
      </c>
      <c r="B1388" s="2"/>
      <c r="C1388" s="2"/>
      <c r="D1388" s="2"/>
      <c r="E1388" s="2"/>
      <c r="F1388" s="2"/>
    </row>
    <row r="1389" spans="1:6" x14ac:dyDescent="0.3">
      <c r="A1389" s="2" t="s">
        <v>1456</v>
      </c>
      <c r="B1389" s="2"/>
      <c r="C1389" s="2"/>
      <c r="D1389" s="2"/>
      <c r="E1389" s="2"/>
      <c r="F1389" s="2"/>
    </row>
    <row r="1390" spans="1:6" x14ac:dyDescent="0.3">
      <c r="A1390" s="2" t="s">
        <v>1457</v>
      </c>
      <c r="B1390" s="2"/>
      <c r="C1390" s="2"/>
      <c r="D1390" s="2"/>
      <c r="E1390" s="2"/>
      <c r="F1390" s="2"/>
    </row>
    <row r="1391" spans="1:6" x14ac:dyDescent="0.3">
      <c r="A1391" s="2" t="s">
        <v>1458</v>
      </c>
      <c r="B1391" s="2"/>
      <c r="C1391" s="2"/>
      <c r="D1391" s="2"/>
      <c r="E1391" s="2"/>
      <c r="F1391" s="2"/>
    </row>
    <row r="1392" spans="1:6" x14ac:dyDescent="0.3">
      <c r="A1392" s="2" t="s">
        <v>1459</v>
      </c>
      <c r="B1392" s="2"/>
      <c r="C1392" s="2"/>
      <c r="D1392" s="2"/>
      <c r="E1392" s="2"/>
      <c r="F1392" s="2"/>
    </row>
    <row r="1393" spans="1:6" x14ac:dyDescent="0.3">
      <c r="A1393" s="2" t="s">
        <v>1460</v>
      </c>
      <c r="B1393" s="2"/>
      <c r="C1393" s="2"/>
      <c r="D1393" s="2"/>
      <c r="E1393" s="2"/>
      <c r="F1393" s="2"/>
    </row>
    <row r="1394" spans="1:6" x14ac:dyDescent="0.3">
      <c r="A1394" s="2" t="s">
        <v>1461</v>
      </c>
      <c r="B1394" s="2"/>
      <c r="C1394" s="2"/>
      <c r="D1394" s="2"/>
      <c r="E1394" s="2"/>
      <c r="F1394" s="2"/>
    </row>
    <row r="1395" spans="1:6" x14ac:dyDescent="0.3">
      <c r="A1395" s="2" t="s">
        <v>1462</v>
      </c>
      <c r="B1395" s="2"/>
      <c r="C1395" s="2"/>
      <c r="D1395" s="2"/>
      <c r="E1395" s="2"/>
      <c r="F1395" s="2"/>
    </row>
    <row r="1396" spans="1:6" x14ac:dyDescent="0.3">
      <c r="A1396" s="2" t="s">
        <v>1463</v>
      </c>
      <c r="B1396" s="2"/>
      <c r="C1396" s="2"/>
      <c r="D1396" s="2"/>
      <c r="E1396" s="2"/>
      <c r="F1396" s="2"/>
    </row>
    <row r="1397" spans="1:6" x14ac:dyDescent="0.3">
      <c r="A1397" s="2" t="s">
        <v>1464</v>
      </c>
      <c r="B1397" s="2"/>
      <c r="C1397" s="2"/>
      <c r="D1397" s="2"/>
      <c r="E1397" s="2"/>
      <c r="F1397" s="2"/>
    </row>
    <row r="1398" spans="1:6" x14ac:dyDescent="0.3">
      <c r="A1398" s="2" t="s">
        <v>1465</v>
      </c>
      <c r="B1398" s="2"/>
      <c r="C1398" s="2"/>
      <c r="D1398" s="2"/>
      <c r="E1398" s="2"/>
      <c r="F1398" s="2"/>
    </row>
    <row r="1399" spans="1:6" x14ac:dyDescent="0.3">
      <c r="A1399" s="2" t="s">
        <v>1466</v>
      </c>
      <c r="B1399" s="2"/>
      <c r="C1399" s="2"/>
      <c r="D1399" s="2"/>
      <c r="E1399" s="2"/>
      <c r="F1399" s="2"/>
    </row>
    <row r="1400" spans="1:6" x14ac:dyDescent="0.3">
      <c r="A1400" s="2" t="s">
        <v>1467</v>
      </c>
      <c r="B1400" s="2"/>
      <c r="C1400" s="2"/>
      <c r="D1400" s="2"/>
      <c r="E1400" s="2"/>
      <c r="F1400" s="2"/>
    </row>
    <row r="1401" spans="1:6" x14ac:dyDescent="0.3">
      <c r="A1401" s="2" t="s">
        <v>1468</v>
      </c>
      <c r="B1401" s="2"/>
      <c r="C1401" s="2"/>
      <c r="D1401" s="2"/>
      <c r="E1401" s="2"/>
      <c r="F1401" s="2"/>
    </row>
    <row r="1402" spans="1:6" x14ac:dyDescent="0.3">
      <c r="A1402" s="2" t="s">
        <v>1469</v>
      </c>
      <c r="B1402" s="2"/>
      <c r="C1402" s="2"/>
      <c r="D1402" s="2"/>
      <c r="E1402" s="2"/>
      <c r="F1402" s="2"/>
    </row>
    <row r="1403" spans="1:6" x14ac:dyDescent="0.3">
      <c r="A1403" s="2" t="s">
        <v>1470</v>
      </c>
      <c r="B1403" s="2"/>
      <c r="C1403" s="2"/>
      <c r="D1403" s="2"/>
      <c r="E1403" s="2"/>
      <c r="F1403" s="2"/>
    </row>
    <row r="1404" spans="1:6" x14ac:dyDescent="0.3">
      <c r="A1404" s="2" t="s">
        <v>1471</v>
      </c>
      <c r="B1404" s="2"/>
      <c r="C1404" s="2"/>
      <c r="D1404" s="2"/>
      <c r="E1404" s="2"/>
      <c r="F1404" s="2"/>
    </row>
    <row r="1405" spans="1:6" x14ac:dyDescent="0.3">
      <c r="A1405" s="2" t="s">
        <v>1472</v>
      </c>
      <c r="B1405" s="2"/>
      <c r="C1405" s="2"/>
      <c r="D1405" s="2"/>
      <c r="E1405" s="2"/>
      <c r="F1405" s="2"/>
    </row>
    <row r="1406" spans="1:6" x14ac:dyDescent="0.3">
      <c r="A1406" s="2" t="s">
        <v>1473</v>
      </c>
      <c r="B1406" s="2"/>
      <c r="C1406" s="2"/>
      <c r="D1406" s="2"/>
      <c r="E1406" s="2"/>
      <c r="F1406" s="2"/>
    </row>
    <row r="1407" spans="1:6" x14ac:dyDescent="0.3">
      <c r="A1407" s="2" t="s">
        <v>1474</v>
      </c>
      <c r="B1407" s="2"/>
      <c r="C1407" s="2"/>
      <c r="D1407" s="2"/>
      <c r="E1407" s="2"/>
      <c r="F1407" s="2"/>
    </row>
    <row r="1408" spans="1:6" x14ac:dyDescent="0.3">
      <c r="A1408" s="2" t="s">
        <v>1475</v>
      </c>
      <c r="B1408" s="2"/>
      <c r="C1408" s="2"/>
      <c r="D1408" s="2"/>
      <c r="E1408" s="2"/>
      <c r="F1408" s="2"/>
    </row>
    <row r="1409" spans="1:6" x14ac:dyDescent="0.3">
      <c r="A1409" s="2" t="s">
        <v>1476</v>
      </c>
      <c r="B1409" s="2"/>
      <c r="C1409" s="2"/>
      <c r="D1409" s="2"/>
      <c r="E1409" s="2"/>
      <c r="F1409" s="2"/>
    </row>
    <row r="1410" spans="1:6" x14ac:dyDescent="0.3">
      <c r="A1410" s="2" t="s">
        <v>1477</v>
      </c>
      <c r="B1410" s="2"/>
      <c r="C1410" s="2"/>
      <c r="D1410" s="2"/>
      <c r="E1410" s="2"/>
      <c r="F1410" s="2"/>
    </row>
    <row r="1411" spans="1:6" x14ac:dyDescent="0.3">
      <c r="A1411" s="2" t="s">
        <v>1478</v>
      </c>
      <c r="B1411" s="2"/>
      <c r="C1411" s="2"/>
      <c r="D1411" s="2"/>
      <c r="E1411" s="2"/>
      <c r="F1411" s="2"/>
    </row>
    <row r="1412" spans="1:6" x14ac:dyDescent="0.3">
      <c r="A1412" s="2" t="s">
        <v>1479</v>
      </c>
      <c r="B1412" s="2"/>
      <c r="C1412" s="2"/>
      <c r="D1412" s="2"/>
      <c r="E1412" s="2"/>
      <c r="F1412" s="2"/>
    </row>
    <row r="1413" spans="1:6" x14ac:dyDescent="0.3">
      <c r="A1413" s="2" t="s">
        <v>1480</v>
      </c>
      <c r="B1413" s="2"/>
      <c r="C1413" s="2"/>
      <c r="D1413" s="2"/>
      <c r="E1413" s="2"/>
      <c r="F1413" s="2"/>
    </row>
    <row r="1414" spans="1:6" x14ac:dyDescent="0.3">
      <c r="A1414" s="2" t="s">
        <v>1481</v>
      </c>
      <c r="B1414" s="2"/>
      <c r="C1414" s="2"/>
      <c r="D1414" s="2"/>
      <c r="E1414" s="2"/>
      <c r="F1414" s="2"/>
    </row>
    <row r="1415" spans="1:6" x14ac:dyDescent="0.3">
      <c r="A1415" s="2" t="s">
        <v>1482</v>
      </c>
      <c r="B1415" s="2"/>
      <c r="C1415" s="2"/>
      <c r="D1415" s="2"/>
      <c r="E1415" s="2"/>
      <c r="F1415" s="2"/>
    </row>
    <row r="1416" spans="1:6" x14ac:dyDescent="0.3">
      <c r="A1416" s="2" t="s">
        <v>1483</v>
      </c>
      <c r="B1416" s="2"/>
      <c r="C1416" s="2"/>
      <c r="D1416" s="2"/>
      <c r="E1416" s="2"/>
      <c r="F1416" s="2"/>
    </row>
    <row r="1417" spans="1:6" x14ac:dyDescent="0.3">
      <c r="A1417" s="2" t="s">
        <v>1484</v>
      </c>
      <c r="B1417" s="2"/>
      <c r="C1417" s="2"/>
      <c r="D1417" s="2"/>
      <c r="E1417" s="2"/>
      <c r="F1417" s="2"/>
    </row>
    <row r="1418" spans="1:6" x14ac:dyDescent="0.3">
      <c r="A1418" s="2" t="s">
        <v>1485</v>
      </c>
      <c r="B1418" s="2"/>
      <c r="C1418" s="2"/>
      <c r="D1418" s="2"/>
      <c r="E1418" s="2"/>
      <c r="F1418" s="2"/>
    </row>
    <row r="1419" spans="1:6" x14ac:dyDescent="0.3">
      <c r="A1419" s="2" t="s">
        <v>1486</v>
      </c>
      <c r="B1419" s="2"/>
      <c r="C1419" s="2"/>
      <c r="D1419" s="2"/>
      <c r="E1419" s="2"/>
      <c r="F1419" s="2"/>
    </row>
  </sheetData>
  <pageMargins left="0.75" right="0.75" top="1" bottom="1" header="0.5" footer="0.5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93"/>
  <sheetViews>
    <sheetView topLeftCell="A435" workbookViewId="0">
      <selection activeCell="A448" sqref="A448:N894"/>
    </sheetView>
  </sheetViews>
  <sheetFormatPr defaultRowHeight="14.4" x14ac:dyDescent="0.3"/>
  <cols>
    <col min="1" max="1" width="11.77734375" customWidth="1"/>
    <col min="2" max="2" width="11.6640625" customWidth="1"/>
    <col min="3" max="3" width="10.44140625" customWidth="1"/>
    <col min="4" max="4" width="17.77734375" customWidth="1"/>
    <col min="5" max="5" width="16.88671875" customWidth="1"/>
    <col min="6" max="6" width="16.6640625" customWidth="1"/>
    <col min="7" max="7" width="18.21875" customWidth="1"/>
    <col min="9" max="9" width="12.109375" customWidth="1"/>
    <col min="10" max="10" width="15.21875" customWidth="1"/>
    <col min="11" max="11" width="14.88671875" customWidth="1"/>
    <col min="12" max="12" width="7.5546875" customWidth="1"/>
  </cols>
  <sheetData>
    <row r="1" spans="1:12" x14ac:dyDescent="0.3">
      <c r="A1" s="1" t="s">
        <v>1487</v>
      </c>
      <c r="B1" s="4" t="s">
        <v>216</v>
      </c>
      <c r="C1" s="4" t="s">
        <v>0</v>
      </c>
      <c r="D1" s="4" t="s">
        <v>1488</v>
      </c>
      <c r="E1" s="4" t="s">
        <v>1489</v>
      </c>
      <c r="F1" s="4" t="s">
        <v>1490</v>
      </c>
      <c r="G1" s="4" t="s">
        <v>1491</v>
      </c>
      <c r="I1" s="2" t="s">
        <v>2089</v>
      </c>
      <c r="J1" s="2" t="s">
        <v>2090</v>
      </c>
      <c r="K1" s="2" t="s">
        <v>2091</v>
      </c>
      <c r="L1" s="2"/>
    </row>
    <row r="2" spans="1:12" x14ac:dyDescent="0.3">
      <c r="A2" s="5" t="s">
        <v>1492</v>
      </c>
      <c r="B2" s="5" t="s">
        <v>228</v>
      </c>
      <c r="C2" s="5" t="s">
        <v>161</v>
      </c>
      <c r="D2" s="6">
        <v>45387</v>
      </c>
      <c r="E2" s="5">
        <v>2778.34</v>
      </c>
      <c r="F2" s="5" t="s">
        <v>1493</v>
      </c>
      <c r="G2" s="6">
        <v>45400</v>
      </c>
      <c r="I2" s="2">
        <f>COUNTIFS(F2:F447,"Paid")</f>
        <v>307</v>
      </c>
      <c r="J2" s="2">
        <f>COUNTIFS(F2:F447,"Pending")</f>
        <v>96</v>
      </c>
      <c r="K2" s="2">
        <f>COUNTIFS(F2:F447,"Overdue")</f>
        <v>43</v>
      </c>
      <c r="L2" s="2"/>
    </row>
    <row r="3" spans="1:12" x14ac:dyDescent="0.3">
      <c r="A3" s="5" t="s">
        <v>1494</v>
      </c>
      <c r="B3" s="5" t="s">
        <v>228</v>
      </c>
      <c r="C3" s="5" t="s">
        <v>161</v>
      </c>
      <c r="D3" s="6">
        <v>45421</v>
      </c>
      <c r="E3" s="5">
        <v>27768.86</v>
      </c>
      <c r="F3" s="5" t="s">
        <v>1495</v>
      </c>
      <c r="G3" s="5"/>
    </row>
    <row r="4" spans="1:12" x14ac:dyDescent="0.3">
      <c r="A4" s="5" t="s">
        <v>1496</v>
      </c>
      <c r="B4" s="5" t="s">
        <v>228</v>
      </c>
      <c r="C4" s="5" t="s">
        <v>161</v>
      </c>
      <c r="D4" s="6">
        <v>45456</v>
      </c>
      <c r="E4" s="5">
        <v>21479.97</v>
      </c>
      <c r="F4" s="5" t="s">
        <v>1493</v>
      </c>
      <c r="G4" s="6">
        <v>45503</v>
      </c>
    </row>
    <row r="5" spans="1:12" x14ac:dyDescent="0.3">
      <c r="A5" s="5" t="s">
        <v>1497</v>
      </c>
      <c r="B5" s="5" t="s">
        <v>228</v>
      </c>
      <c r="C5" s="5" t="s">
        <v>161</v>
      </c>
      <c r="D5" s="6">
        <v>45490</v>
      </c>
      <c r="E5" s="5">
        <v>44536.99</v>
      </c>
      <c r="F5" s="5" t="s">
        <v>1493</v>
      </c>
      <c r="G5" s="6">
        <v>45528</v>
      </c>
    </row>
    <row r="6" spans="1:12" x14ac:dyDescent="0.3">
      <c r="A6" s="5" t="s">
        <v>1498</v>
      </c>
      <c r="B6" s="5" t="s">
        <v>231</v>
      </c>
      <c r="C6" s="5" t="s">
        <v>42</v>
      </c>
      <c r="D6" s="6">
        <v>45955</v>
      </c>
      <c r="E6" s="5">
        <v>5489.01</v>
      </c>
      <c r="F6" s="5" t="s">
        <v>1493</v>
      </c>
      <c r="G6" s="6">
        <v>45983</v>
      </c>
    </row>
    <row r="7" spans="1:12" x14ac:dyDescent="0.3">
      <c r="A7" s="5" t="s">
        <v>1499</v>
      </c>
      <c r="B7" s="5" t="s">
        <v>231</v>
      </c>
      <c r="C7" s="5" t="s">
        <v>42</v>
      </c>
      <c r="D7" s="6">
        <v>45972</v>
      </c>
      <c r="E7" s="5">
        <v>121757.9</v>
      </c>
      <c r="F7" s="5" t="s">
        <v>1493</v>
      </c>
      <c r="G7" s="6">
        <v>46008</v>
      </c>
    </row>
    <row r="8" spans="1:12" x14ac:dyDescent="0.3">
      <c r="A8" s="5" t="s">
        <v>1500</v>
      </c>
      <c r="B8" s="5" t="s">
        <v>234</v>
      </c>
      <c r="C8" s="5" t="s">
        <v>62</v>
      </c>
      <c r="D8" s="6">
        <v>45954</v>
      </c>
      <c r="E8" s="5">
        <v>42760.09</v>
      </c>
      <c r="F8" s="5" t="s">
        <v>1493</v>
      </c>
      <c r="G8" s="6">
        <v>45992</v>
      </c>
    </row>
    <row r="9" spans="1:12" x14ac:dyDescent="0.3">
      <c r="A9" s="5" t="s">
        <v>1501</v>
      </c>
      <c r="B9" s="5" t="s">
        <v>234</v>
      </c>
      <c r="C9" s="5" t="s">
        <v>62</v>
      </c>
      <c r="D9" s="6">
        <v>46028</v>
      </c>
      <c r="E9" s="5">
        <v>60082.91</v>
      </c>
      <c r="F9" s="5" t="s">
        <v>1493</v>
      </c>
      <c r="G9" s="6">
        <v>46073</v>
      </c>
    </row>
    <row r="10" spans="1:12" x14ac:dyDescent="0.3">
      <c r="A10" s="5" t="s">
        <v>1502</v>
      </c>
      <c r="B10" s="5" t="s">
        <v>237</v>
      </c>
      <c r="C10" s="5" t="s">
        <v>25</v>
      </c>
      <c r="D10" s="6">
        <v>45481</v>
      </c>
      <c r="E10" s="5">
        <v>133892.88</v>
      </c>
      <c r="F10" s="5" t="s">
        <v>1495</v>
      </c>
      <c r="G10" s="5"/>
    </row>
    <row r="11" spans="1:12" x14ac:dyDescent="0.3">
      <c r="A11" s="5" t="s">
        <v>1503</v>
      </c>
      <c r="B11" s="5" t="s">
        <v>239</v>
      </c>
      <c r="C11" s="5" t="s">
        <v>100</v>
      </c>
      <c r="D11" s="6">
        <v>46027</v>
      </c>
      <c r="E11" s="5">
        <v>10165.58</v>
      </c>
      <c r="F11" s="5" t="s">
        <v>1493</v>
      </c>
      <c r="G11" s="6">
        <v>46071</v>
      </c>
    </row>
    <row r="12" spans="1:12" x14ac:dyDescent="0.3">
      <c r="A12" s="5" t="s">
        <v>1504</v>
      </c>
      <c r="B12" s="5" t="s">
        <v>239</v>
      </c>
      <c r="C12" s="5" t="s">
        <v>100</v>
      </c>
      <c r="D12" s="6">
        <v>46063</v>
      </c>
      <c r="E12" s="5">
        <v>89138.38</v>
      </c>
      <c r="F12" s="5" t="s">
        <v>1493</v>
      </c>
      <c r="G12" s="6">
        <v>46078</v>
      </c>
    </row>
    <row r="13" spans="1:12" x14ac:dyDescent="0.3">
      <c r="A13" s="5" t="s">
        <v>1505</v>
      </c>
      <c r="B13" s="5" t="s">
        <v>239</v>
      </c>
      <c r="C13" s="5" t="s">
        <v>100</v>
      </c>
      <c r="D13" s="6">
        <v>46100</v>
      </c>
      <c r="E13" s="5">
        <v>57743.360000000001</v>
      </c>
      <c r="F13" s="5" t="s">
        <v>1493</v>
      </c>
      <c r="G13" s="6">
        <v>46132</v>
      </c>
    </row>
    <row r="14" spans="1:12" x14ac:dyDescent="0.3">
      <c r="A14" s="5" t="s">
        <v>1506</v>
      </c>
      <c r="B14" s="5" t="s">
        <v>239</v>
      </c>
      <c r="C14" s="5" t="s">
        <v>100</v>
      </c>
      <c r="D14" s="6">
        <v>46137</v>
      </c>
      <c r="E14" s="5">
        <v>2978.88</v>
      </c>
      <c r="F14" s="5" t="s">
        <v>1493</v>
      </c>
      <c r="G14" s="6">
        <v>46185</v>
      </c>
    </row>
    <row r="15" spans="1:12" x14ac:dyDescent="0.3">
      <c r="A15" s="5" t="s">
        <v>1507</v>
      </c>
      <c r="B15" s="5" t="s">
        <v>241</v>
      </c>
      <c r="C15" s="5" t="s">
        <v>102</v>
      </c>
      <c r="D15" s="6">
        <v>45328</v>
      </c>
      <c r="E15" s="5">
        <v>53808.56</v>
      </c>
      <c r="F15" s="5" t="s">
        <v>1493</v>
      </c>
      <c r="G15" s="6">
        <v>45383</v>
      </c>
    </row>
    <row r="16" spans="1:12" x14ac:dyDescent="0.3">
      <c r="A16" s="5" t="s">
        <v>1508</v>
      </c>
      <c r="B16" s="5" t="s">
        <v>241</v>
      </c>
      <c r="C16" s="5" t="s">
        <v>102</v>
      </c>
      <c r="D16" s="6">
        <v>45359</v>
      </c>
      <c r="E16" s="5">
        <v>22822.15</v>
      </c>
      <c r="F16" s="5" t="s">
        <v>1493</v>
      </c>
      <c r="G16" s="6">
        <v>45412</v>
      </c>
    </row>
    <row r="17" spans="1:7" x14ac:dyDescent="0.3">
      <c r="A17" s="5" t="s">
        <v>1509</v>
      </c>
      <c r="B17" s="5" t="s">
        <v>241</v>
      </c>
      <c r="C17" s="5" t="s">
        <v>102</v>
      </c>
      <c r="D17" s="6">
        <v>45390</v>
      </c>
      <c r="E17" s="5">
        <v>21187.42</v>
      </c>
      <c r="F17" s="5" t="s">
        <v>1493</v>
      </c>
      <c r="G17" s="6">
        <v>45447</v>
      </c>
    </row>
    <row r="18" spans="1:7" x14ac:dyDescent="0.3">
      <c r="A18" s="5" t="s">
        <v>1510</v>
      </c>
      <c r="B18" s="5" t="s">
        <v>243</v>
      </c>
      <c r="C18" s="5" t="s">
        <v>36</v>
      </c>
      <c r="D18" s="6">
        <v>46071</v>
      </c>
      <c r="E18" s="5">
        <v>85413.57</v>
      </c>
      <c r="F18" s="5" t="s">
        <v>1493</v>
      </c>
      <c r="G18" s="6">
        <v>46088</v>
      </c>
    </row>
    <row r="19" spans="1:7" x14ac:dyDescent="0.3">
      <c r="A19" s="5" t="s">
        <v>1511</v>
      </c>
      <c r="B19" s="5" t="s">
        <v>243</v>
      </c>
      <c r="C19" s="5" t="s">
        <v>36</v>
      </c>
      <c r="D19" s="6">
        <v>46158</v>
      </c>
      <c r="E19" s="5">
        <v>63082.09</v>
      </c>
      <c r="F19" s="5" t="s">
        <v>1493</v>
      </c>
      <c r="G19" s="6">
        <v>46169</v>
      </c>
    </row>
    <row r="20" spans="1:7" x14ac:dyDescent="0.3">
      <c r="A20" s="5" t="s">
        <v>1512</v>
      </c>
      <c r="B20" s="5" t="s">
        <v>245</v>
      </c>
      <c r="C20" s="5" t="s">
        <v>133</v>
      </c>
      <c r="D20" s="6">
        <v>45660</v>
      </c>
      <c r="E20" s="5">
        <v>73747.429999999993</v>
      </c>
      <c r="F20" s="5" t="s">
        <v>1493</v>
      </c>
      <c r="G20" s="6">
        <v>45682</v>
      </c>
    </row>
    <row r="21" spans="1:7" x14ac:dyDescent="0.3">
      <c r="A21" s="5" t="s">
        <v>1513</v>
      </c>
      <c r="B21" s="5" t="s">
        <v>247</v>
      </c>
      <c r="C21" s="5" t="s">
        <v>114</v>
      </c>
      <c r="D21" s="6">
        <v>45986</v>
      </c>
      <c r="E21" s="5">
        <v>84637.74</v>
      </c>
      <c r="F21" s="5" t="s">
        <v>1493</v>
      </c>
      <c r="G21" s="6">
        <v>46035</v>
      </c>
    </row>
    <row r="22" spans="1:7" x14ac:dyDescent="0.3">
      <c r="A22" s="5" t="s">
        <v>1514</v>
      </c>
      <c r="B22" s="5" t="s">
        <v>249</v>
      </c>
      <c r="C22" s="5" t="s">
        <v>72</v>
      </c>
      <c r="D22" s="6">
        <v>45816</v>
      </c>
      <c r="E22" s="5">
        <v>22419.55</v>
      </c>
      <c r="F22" s="5" t="s">
        <v>1493</v>
      </c>
      <c r="G22" s="6">
        <v>45846</v>
      </c>
    </row>
    <row r="23" spans="1:7" x14ac:dyDescent="0.3">
      <c r="A23" s="5" t="s">
        <v>1515</v>
      </c>
      <c r="B23" s="5" t="s">
        <v>249</v>
      </c>
      <c r="C23" s="5" t="s">
        <v>72</v>
      </c>
      <c r="D23" s="6">
        <v>45834</v>
      </c>
      <c r="E23" s="5">
        <v>64478.57</v>
      </c>
      <c r="F23" s="5" t="s">
        <v>1495</v>
      </c>
      <c r="G23" s="5"/>
    </row>
    <row r="24" spans="1:7" x14ac:dyDescent="0.3">
      <c r="A24" s="5" t="s">
        <v>1516</v>
      </c>
      <c r="B24" s="5" t="s">
        <v>249</v>
      </c>
      <c r="C24" s="5" t="s">
        <v>72</v>
      </c>
      <c r="D24" s="6">
        <v>45852</v>
      </c>
      <c r="E24" s="5">
        <v>51783.68</v>
      </c>
      <c r="F24" s="5" t="s">
        <v>1495</v>
      </c>
      <c r="G24" s="5"/>
    </row>
    <row r="25" spans="1:7" x14ac:dyDescent="0.3">
      <c r="A25" s="5" t="s">
        <v>1517</v>
      </c>
      <c r="B25" s="5" t="s">
        <v>251</v>
      </c>
      <c r="C25" s="5" t="s">
        <v>175</v>
      </c>
      <c r="D25" s="6">
        <v>45570</v>
      </c>
      <c r="E25" s="5">
        <v>4775.05</v>
      </c>
      <c r="F25" s="5" t="s">
        <v>1493</v>
      </c>
      <c r="G25" s="6">
        <v>45610</v>
      </c>
    </row>
    <row r="26" spans="1:7" x14ac:dyDescent="0.3">
      <c r="A26" s="5" t="s">
        <v>1518</v>
      </c>
      <c r="B26" s="5" t="s">
        <v>251</v>
      </c>
      <c r="C26" s="5" t="s">
        <v>175</v>
      </c>
      <c r="D26" s="6">
        <v>45616</v>
      </c>
      <c r="E26" s="5">
        <v>171414.45</v>
      </c>
      <c r="F26" s="5" t="s">
        <v>1493</v>
      </c>
      <c r="G26" s="6">
        <v>45673</v>
      </c>
    </row>
    <row r="27" spans="1:7" x14ac:dyDescent="0.3">
      <c r="A27" s="5" t="s">
        <v>1519</v>
      </c>
      <c r="B27" s="5" t="s">
        <v>253</v>
      </c>
      <c r="C27" s="5" t="s">
        <v>86</v>
      </c>
      <c r="D27" s="6">
        <v>45508</v>
      </c>
      <c r="E27" s="5">
        <v>21540.48</v>
      </c>
      <c r="F27" s="5" t="s">
        <v>1495</v>
      </c>
      <c r="G27" s="5"/>
    </row>
    <row r="28" spans="1:7" x14ac:dyDescent="0.3">
      <c r="A28" s="5" t="s">
        <v>1520</v>
      </c>
      <c r="B28" s="5" t="s">
        <v>253</v>
      </c>
      <c r="C28" s="5" t="s">
        <v>86</v>
      </c>
      <c r="D28" s="6">
        <v>45546</v>
      </c>
      <c r="E28" s="5">
        <v>133879.67000000001</v>
      </c>
      <c r="F28" s="5" t="s">
        <v>1493</v>
      </c>
      <c r="G28" s="6">
        <v>45591</v>
      </c>
    </row>
    <row r="29" spans="1:7" x14ac:dyDescent="0.3">
      <c r="A29" s="5" t="s">
        <v>1521</v>
      </c>
      <c r="B29" s="5" t="s">
        <v>253</v>
      </c>
      <c r="C29" s="5" t="s">
        <v>86</v>
      </c>
      <c r="D29" s="6">
        <v>45584</v>
      </c>
      <c r="E29" s="5">
        <v>25964.35</v>
      </c>
      <c r="F29" s="5" t="s">
        <v>1495</v>
      </c>
      <c r="G29" s="5"/>
    </row>
    <row r="30" spans="1:7" x14ac:dyDescent="0.3">
      <c r="A30" s="5" t="s">
        <v>1522</v>
      </c>
      <c r="B30" s="5" t="s">
        <v>255</v>
      </c>
      <c r="C30" s="5" t="s">
        <v>145</v>
      </c>
      <c r="D30" s="6">
        <v>46158</v>
      </c>
      <c r="E30" s="5">
        <v>88223.23</v>
      </c>
      <c r="F30" s="5" t="s">
        <v>1495</v>
      </c>
      <c r="G30" s="5"/>
    </row>
    <row r="31" spans="1:7" x14ac:dyDescent="0.3">
      <c r="A31" s="5" t="s">
        <v>1523</v>
      </c>
      <c r="B31" s="5" t="s">
        <v>257</v>
      </c>
      <c r="C31" s="5" t="s">
        <v>47</v>
      </c>
      <c r="D31" s="6">
        <v>46164</v>
      </c>
      <c r="E31" s="5">
        <v>118514.32</v>
      </c>
      <c r="F31" s="5" t="s">
        <v>1493</v>
      </c>
      <c r="G31" s="6">
        <v>46221</v>
      </c>
    </row>
    <row r="32" spans="1:7" x14ac:dyDescent="0.3">
      <c r="A32" s="5" t="s">
        <v>1524</v>
      </c>
      <c r="B32" s="5" t="s">
        <v>259</v>
      </c>
      <c r="C32" s="5" t="s">
        <v>36</v>
      </c>
      <c r="D32" s="6">
        <v>46089</v>
      </c>
      <c r="E32" s="5">
        <v>57353.94</v>
      </c>
      <c r="F32" s="5" t="s">
        <v>1493</v>
      </c>
      <c r="G32" s="6">
        <v>46136</v>
      </c>
    </row>
    <row r="33" spans="1:7" x14ac:dyDescent="0.3">
      <c r="A33" s="5" t="s">
        <v>1525</v>
      </c>
      <c r="B33" s="5" t="s">
        <v>259</v>
      </c>
      <c r="C33" s="5" t="s">
        <v>36</v>
      </c>
      <c r="D33" s="6">
        <v>46152</v>
      </c>
      <c r="E33" s="5">
        <v>86591.679999999993</v>
      </c>
      <c r="F33" s="5" t="s">
        <v>1493</v>
      </c>
      <c r="G33" s="6">
        <v>46188</v>
      </c>
    </row>
    <row r="34" spans="1:7" x14ac:dyDescent="0.3">
      <c r="A34" s="5" t="s">
        <v>1526</v>
      </c>
      <c r="B34" s="5" t="s">
        <v>261</v>
      </c>
      <c r="C34" s="5" t="s">
        <v>106</v>
      </c>
      <c r="D34" s="6">
        <v>45564</v>
      </c>
      <c r="E34" s="5">
        <v>84047.679999999993</v>
      </c>
      <c r="F34" s="5" t="s">
        <v>1493</v>
      </c>
      <c r="G34" s="6">
        <v>45609</v>
      </c>
    </row>
    <row r="35" spans="1:7" x14ac:dyDescent="0.3">
      <c r="A35" s="5" t="s">
        <v>1527</v>
      </c>
      <c r="B35" s="5" t="s">
        <v>261</v>
      </c>
      <c r="C35" s="5" t="s">
        <v>106</v>
      </c>
      <c r="D35" s="6">
        <v>45608</v>
      </c>
      <c r="E35" s="5">
        <v>33403.08</v>
      </c>
      <c r="F35" s="5" t="s">
        <v>1493</v>
      </c>
      <c r="G35" s="6">
        <v>45665</v>
      </c>
    </row>
    <row r="36" spans="1:7" x14ac:dyDescent="0.3">
      <c r="A36" s="5" t="s">
        <v>1528</v>
      </c>
      <c r="B36" s="5" t="s">
        <v>261</v>
      </c>
      <c r="C36" s="5" t="s">
        <v>106</v>
      </c>
      <c r="D36" s="6">
        <v>45653</v>
      </c>
      <c r="E36" s="5">
        <v>35579.589999999997</v>
      </c>
      <c r="F36" s="5" t="s">
        <v>1495</v>
      </c>
      <c r="G36" s="5"/>
    </row>
    <row r="37" spans="1:7" x14ac:dyDescent="0.3">
      <c r="A37" s="5" t="s">
        <v>1529</v>
      </c>
      <c r="B37" s="5" t="s">
        <v>263</v>
      </c>
      <c r="C37" s="5" t="s">
        <v>159</v>
      </c>
      <c r="D37" s="6">
        <v>46172</v>
      </c>
      <c r="E37" s="5">
        <v>5439.87</v>
      </c>
      <c r="F37" s="5" t="s">
        <v>1530</v>
      </c>
      <c r="G37" s="5"/>
    </row>
    <row r="38" spans="1:7" x14ac:dyDescent="0.3">
      <c r="A38" s="5" t="s">
        <v>1531</v>
      </c>
      <c r="B38" s="5" t="s">
        <v>263</v>
      </c>
      <c r="C38" s="5" t="s">
        <v>159</v>
      </c>
      <c r="D38" s="6">
        <v>46214</v>
      </c>
      <c r="E38" s="5">
        <v>76831.44</v>
      </c>
      <c r="F38" s="5" t="s">
        <v>1495</v>
      </c>
      <c r="G38" s="5"/>
    </row>
    <row r="39" spans="1:7" x14ac:dyDescent="0.3">
      <c r="A39" s="5" t="s">
        <v>1532</v>
      </c>
      <c r="B39" s="5" t="s">
        <v>263</v>
      </c>
      <c r="C39" s="5" t="s">
        <v>159</v>
      </c>
      <c r="D39" s="6">
        <v>46257</v>
      </c>
      <c r="E39" s="5">
        <v>16782.88</v>
      </c>
      <c r="F39" s="5" t="s">
        <v>1495</v>
      </c>
      <c r="G39" s="5"/>
    </row>
    <row r="40" spans="1:7" x14ac:dyDescent="0.3">
      <c r="A40" s="5" t="s">
        <v>1533</v>
      </c>
      <c r="B40" s="5" t="s">
        <v>265</v>
      </c>
      <c r="C40" s="5" t="s">
        <v>74</v>
      </c>
      <c r="D40" s="6">
        <v>45353</v>
      </c>
      <c r="E40" s="5">
        <v>42007.19</v>
      </c>
      <c r="F40" s="5" t="s">
        <v>1493</v>
      </c>
      <c r="G40" s="6">
        <v>45385</v>
      </c>
    </row>
    <row r="41" spans="1:7" x14ac:dyDescent="0.3">
      <c r="A41" s="5" t="s">
        <v>1534</v>
      </c>
      <c r="B41" s="5" t="s">
        <v>267</v>
      </c>
      <c r="C41" s="5" t="s">
        <v>173</v>
      </c>
      <c r="D41" s="6">
        <v>45887</v>
      </c>
      <c r="E41" s="5">
        <v>12348.24</v>
      </c>
      <c r="F41" s="5" t="s">
        <v>1495</v>
      </c>
      <c r="G41" s="5"/>
    </row>
    <row r="42" spans="1:7" x14ac:dyDescent="0.3">
      <c r="A42" s="5" t="s">
        <v>1535</v>
      </c>
      <c r="B42" s="5" t="s">
        <v>267</v>
      </c>
      <c r="C42" s="5" t="s">
        <v>173</v>
      </c>
      <c r="D42" s="6">
        <v>45946</v>
      </c>
      <c r="E42" s="5">
        <v>45175.59</v>
      </c>
      <c r="F42" s="5" t="s">
        <v>1493</v>
      </c>
      <c r="G42" s="6">
        <v>45976</v>
      </c>
    </row>
    <row r="43" spans="1:7" x14ac:dyDescent="0.3">
      <c r="A43" s="5" t="s">
        <v>1536</v>
      </c>
      <c r="B43" s="5" t="s">
        <v>267</v>
      </c>
      <c r="C43" s="5" t="s">
        <v>173</v>
      </c>
      <c r="D43" s="6">
        <v>46005</v>
      </c>
      <c r="E43" s="5">
        <v>12103.83</v>
      </c>
      <c r="F43" s="5" t="s">
        <v>1493</v>
      </c>
      <c r="G43" s="6">
        <v>46027</v>
      </c>
    </row>
    <row r="44" spans="1:7" x14ac:dyDescent="0.3">
      <c r="A44" s="5" t="s">
        <v>1537</v>
      </c>
      <c r="B44" s="5" t="s">
        <v>269</v>
      </c>
      <c r="C44" s="5" t="s">
        <v>67</v>
      </c>
      <c r="D44" s="6">
        <v>46171</v>
      </c>
      <c r="E44" s="5">
        <v>67384.73</v>
      </c>
      <c r="F44" s="5" t="s">
        <v>1495</v>
      </c>
      <c r="G44" s="5"/>
    </row>
    <row r="45" spans="1:7" x14ac:dyDescent="0.3">
      <c r="A45" s="5" t="s">
        <v>1538</v>
      </c>
      <c r="B45" s="5" t="s">
        <v>269</v>
      </c>
      <c r="C45" s="5" t="s">
        <v>67</v>
      </c>
      <c r="D45" s="6">
        <v>46213</v>
      </c>
      <c r="E45" s="5">
        <v>55028.32</v>
      </c>
      <c r="F45" s="5" t="s">
        <v>1493</v>
      </c>
      <c r="G45" s="6">
        <v>46259</v>
      </c>
    </row>
    <row r="46" spans="1:7" x14ac:dyDescent="0.3">
      <c r="A46" s="5" t="s">
        <v>1539</v>
      </c>
      <c r="B46" s="5" t="s">
        <v>271</v>
      </c>
      <c r="C46" s="5" t="s">
        <v>21</v>
      </c>
      <c r="D46" s="6">
        <v>46020</v>
      </c>
      <c r="E46" s="5">
        <v>118201.26</v>
      </c>
      <c r="F46" s="5" t="s">
        <v>1530</v>
      </c>
      <c r="G46" s="5"/>
    </row>
    <row r="47" spans="1:7" x14ac:dyDescent="0.3">
      <c r="A47" s="5" t="s">
        <v>1540</v>
      </c>
      <c r="B47" s="5" t="s">
        <v>271</v>
      </c>
      <c r="C47" s="5" t="s">
        <v>21</v>
      </c>
      <c r="D47" s="6">
        <v>46037</v>
      </c>
      <c r="E47" s="5">
        <v>4501.05</v>
      </c>
      <c r="F47" s="5" t="s">
        <v>1530</v>
      </c>
      <c r="G47" s="5"/>
    </row>
    <row r="48" spans="1:7" x14ac:dyDescent="0.3">
      <c r="A48" s="5" t="s">
        <v>1541</v>
      </c>
      <c r="B48" s="5" t="s">
        <v>273</v>
      </c>
      <c r="C48" s="5" t="s">
        <v>77</v>
      </c>
      <c r="D48" s="6">
        <v>45633</v>
      </c>
      <c r="E48" s="5">
        <v>194874.05</v>
      </c>
      <c r="F48" s="5" t="s">
        <v>1493</v>
      </c>
      <c r="G48" s="6">
        <v>45689</v>
      </c>
    </row>
    <row r="49" spans="1:7" x14ac:dyDescent="0.3">
      <c r="A49" s="5" t="s">
        <v>1542</v>
      </c>
      <c r="B49" s="5" t="s">
        <v>275</v>
      </c>
      <c r="C49" s="5" t="s">
        <v>143</v>
      </c>
      <c r="D49" s="6">
        <v>45688</v>
      </c>
      <c r="E49" s="5">
        <v>28524.720000000001</v>
      </c>
      <c r="F49" s="5" t="s">
        <v>1493</v>
      </c>
      <c r="G49" s="6">
        <v>45723</v>
      </c>
    </row>
    <row r="50" spans="1:7" x14ac:dyDescent="0.3">
      <c r="A50" s="5" t="s">
        <v>1543</v>
      </c>
      <c r="B50" s="5" t="s">
        <v>275</v>
      </c>
      <c r="C50" s="5" t="s">
        <v>143</v>
      </c>
      <c r="D50" s="6">
        <v>45742</v>
      </c>
      <c r="E50" s="5">
        <v>32544.34</v>
      </c>
      <c r="F50" s="5" t="s">
        <v>1495</v>
      </c>
      <c r="G50" s="5"/>
    </row>
    <row r="51" spans="1:7" x14ac:dyDescent="0.3">
      <c r="A51" s="5" t="s">
        <v>1544</v>
      </c>
      <c r="B51" s="5" t="s">
        <v>275</v>
      </c>
      <c r="C51" s="5" t="s">
        <v>143</v>
      </c>
      <c r="D51" s="6">
        <v>45796</v>
      </c>
      <c r="E51" s="5">
        <v>44598.85</v>
      </c>
      <c r="F51" s="5" t="s">
        <v>1495</v>
      </c>
      <c r="G51" s="5"/>
    </row>
    <row r="52" spans="1:7" x14ac:dyDescent="0.3">
      <c r="A52" s="5" t="s">
        <v>1545</v>
      </c>
      <c r="B52" s="5" t="s">
        <v>277</v>
      </c>
      <c r="C52" s="5" t="s">
        <v>83</v>
      </c>
      <c r="D52" s="6">
        <v>45990</v>
      </c>
      <c r="E52" s="5">
        <v>59675.199999999997</v>
      </c>
      <c r="F52" s="5" t="s">
        <v>1493</v>
      </c>
      <c r="G52" s="6">
        <v>46039</v>
      </c>
    </row>
    <row r="53" spans="1:7" x14ac:dyDescent="0.3">
      <c r="A53" s="5" t="s">
        <v>1546</v>
      </c>
      <c r="B53" s="5" t="s">
        <v>277</v>
      </c>
      <c r="C53" s="5" t="s">
        <v>83</v>
      </c>
      <c r="D53" s="6">
        <v>46055</v>
      </c>
      <c r="E53" s="5">
        <v>32613.37</v>
      </c>
      <c r="F53" s="5" t="s">
        <v>1493</v>
      </c>
      <c r="G53" s="6">
        <v>46071</v>
      </c>
    </row>
    <row r="54" spans="1:7" x14ac:dyDescent="0.3">
      <c r="A54" s="5" t="s">
        <v>1547</v>
      </c>
      <c r="B54" s="5" t="s">
        <v>279</v>
      </c>
      <c r="C54" s="5" t="s">
        <v>100</v>
      </c>
      <c r="D54" s="6">
        <v>45310</v>
      </c>
      <c r="E54" s="5">
        <v>3537.63</v>
      </c>
      <c r="F54" s="5" t="s">
        <v>1493</v>
      </c>
      <c r="G54" s="6">
        <v>45365</v>
      </c>
    </row>
    <row r="55" spans="1:7" x14ac:dyDescent="0.3">
      <c r="A55" s="5" t="s">
        <v>1548</v>
      </c>
      <c r="B55" s="5" t="s">
        <v>279</v>
      </c>
      <c r="C55" s="5" t="s">
        <v>100</v>
      </c>
      <c r="D55" s="6">
        <v>45326</v>
      </c>
      <c r="E55" s="5">
        <v>192641.1</v>
      </c>
      <c r="F55" s="5" t="s">
        <v>1493</v>
      </c>
      <c r="G55" s="6">
        <v>45374</v>
      </c>
    </row>
    <row r="56" spans="1:7" x14ac:dyDescent="0.3">
      <c r="A56" s="5" t="s">
        <v>1549</v>
      </c>
      <c r="B56" s="5" t="s">
        <v>281</v>
      </c>
      <c r="C56" s="5" t="s">
        <v>177</v>
      </c>
      <c r="D56" s="6">
        <v>45468</v>
      </c>
      <c r="E56" s="5">
        <v>1076.3499999999999</v>
      </c>
      <c r="F56" s="5" t="s">
        <v>1495</v>
      </c>
      <c r="G56" s="5"/>
    </row>
    <row r="57" spans="1:7" x14ac:dyDescent="0.3">
      <c r="A57" s="5" t="s">
        <v>1550</v>
      </c>
      <c r="B57" s="5" t="s">
        <v>281</v>
      </c>
      <c r="C57" s="5" t="s">
        <v>177</v>
      </c>
      <c r="D57" s="6">
        <v>45494</v>
      </c>
      <c r="E57" s="5">
        <v>107231.4</v>
      </c>
      <c r="F57" s="5" t="s">
        <v>1493</v>
      </c>
      <c r="G57" s="6">
        <v>45525</v>
      </c>
    </row>
    <row r="58" spans="1:7" x14ac:dyDescent="0.3">
      <c r="A58" s="5" t="s">
        <v>1551</v>
      </c>
      <c r="B58" s="5" t="s">
        <v>283</v>
      </c>
      <c r="C58" s="5" t="s">
        <v>167</v>
      </c>
      <c r="D58" s="6">
        <v>45903</v>
      </c>
      <c r="E58" s="5">
        <v>108651.79</v>
      </c>
      <c r="F58" s="5" t="s">
        <v>1493</v>
      </c>
      <c r="G58" s="6">
        <v>45951</v>
      </c>
    </row>
    <row r="59" spans="1:7" x14ac:dyDescent="0.3">
      <c r="A59" s="5" t="s">
        <v>1552</v>
      </c>
      <c r="B59" s="5" t="s">
        <v>286</v>
      </c>
      <c r="C59" s="5" t="s">
        <v>58</v>
      </c>
      <c r="D59" s="6">
        <v>45687</v>
      </c>
      <c r="E59" s="5">
        <v>160988.51</v>
      </c>
      <c r="F59" s="5" t="s">
        <v>1530</v>
      </c>
      <c r="G59" s="5"/>
    </row>
    <row r="60" spans="1:7" x14ac:dyDescent="0.3">
      <c r="A60" s="5" t="s">
        <v>1553</v>
      </c>
      <c r="B60" s="5" t="s">
        <v>288</v>
      </c>
      <c r="C60" s="5" t="s">
        <v>110</v>
      </c>
      <c r="D60" s="6">
        <v>45736</v>
      </c>
      <c r="E60" s="5">
        <v>69415.789999999994</v>
      </c>
      <c r="F60" s="5" t="s">
        <v>1493</v>
      </c>
      <c r="G60" s="6">
        <v>45768</v>
      </c>
    </row>
    <row r="61" spans="1:7" x14ac:dyDescent="0.3">
      <c r="A61" s="5" t="s">
        <v>1554</v>
      </c>
      <c r="B61" s="5" t="s">
        <v>288</v>
      </c>
      <c r="C61" s="5" t="s">
        <v>110</v>
      </c>
      <c r="D61" s="6">
        <v>45823</v>
      </c>
      <c r="E61" s="5">
        <v>33103.94</v>
      </c>
      <c r="F61" s="5" t="s">
        <v>1495</v>
      </c>
      <c r="G61" s="5"/>
    </row>
    <row r="62" spans="1:7" x14ac:dyDescent="0.3">
      <c r="A62" s="5" t="s">
        <v>1555</v>
      </c>
      <c r="B62" s="5" t="s">
        <v>290</v>
      </c>
      <c r="C62" s="5" t="s">
        <v>108</v>
      </c>
      <c r="D62" s="6">
        <v>45524</v>
      </c>
      <c r="E62" s="5">
        <v>144691.18</v>
      </c>
      <c r="F62" s="5" t="s">
        <v>1493</v>
      </c>
      <c r="G62" s="6">
        <v>45563</v>
      </c>
    </row>
    <row r="63" spans="1:7" x14ac:dyDescent="0.3">
      <c r="A63" s="5" t="s">
        <v>1556</v>
      </c>
      <c r="B63" s="5" t="s">
        <v>290</v>
      </c>
      <c r="C63" s="5" t="s">
        <v>108</v>
      </c>
      <c r="D63" s="6">
        <v>45581</v>
      </c>
      <c r="E63" s="5">
        <v>24573.3</v>
      </c>
      <c r="F63" s="5" t="s">
        <v>1495</v>
      </c>
      <c r="G63" s="5"/>
    </row>
    <row r="64" spans="1:7" x14ac:dyDescent="0.3">
      <c r="A64" s="5" t="s">
        <v>1557</v>
      </c>
      <c r="B64" s="5" t="s">
        <v>292</v>
      </c>
      <c r="C64" s="5" t="s">
        <v>102</v>
      </c>
      <c r="D64" s="6">
        <v>45367</v>
      </c>
      <c r="E64" s="5">
        <v>51236.42</v>
      </c>
      <c r="F64" s="5" t="s">
        <v>1493</v>
      </c>
      <c r="G64" s="6">
        <v>45394</v>
      </c>
    </row>
    <row r="65" spans="1:7" x14ac:dyDescent="0.3">
      <c r="A65" s="5" t="s">
        <v>1558</v>
      </c>
      <c r="B65" s="5" t="s">
        <v>292</v>
      </c>
      <c r="C65" s="5" t="s">
        <v>102</v>
      </c>
      <c r="D65" s="6">
        <v>45420</v>
      </c>
      <c r="E65" s="5">
        <v>64721.56</v>
      </c>
      <c r="F65" s="5" t="s">
        <v>1493</v>
      </c>
      <c r="G65" s="6">
        <v>45471</v>
      </c>
    </row>
    <row r="66" spans="1:7" x14ac:dyDescent="0.3">
      <c r="A66" s="5" t="s">
        <v>1559</v>
      </c>
      <c r="B66" s="5" t="s">
        <v>294</v>
      </c>
      <c r="C66" s="5" t="s">
        <v>94</v>
      </c>
      <c r="D66" s="6">
        <v>45556</v>
      </c>
      <c r="E66" s="5">
        <v>23742.46</v>
      </c>
      <c r="F66" s="5" t="s">
        <v>1493</v>
      </c>
      <c r="G66" s="6">
        <v>45583</v>
      </c>
    </row>
    <row r="67" spans="1:7" x14ac:dyDescent="0.3">
      <c r="A67" s="5" t="s">
        <v>1560</v>
      </c>
      <c r="B67" s="5" t="s">
        <v>294</v>
      </c>
      <c r="C67" s="5" t="s">
        <v>94</v>
      </c>
      <c r="D67" s="6">
        <v>45625</v>
      </c>
      <c r="E67" s="5">
        <v>38106.35</v>
      </c>
      <c r="F67" s="5" t="s">
        <v>1493</v>
      </c>
      <c r="G67" s="6">
        <v>45680</v>
      </c>
    </row>
    <row r="68" spans="1:7" x14ac:dyDescent="0.3">
      <c r="A68" s="5" t="s">
        <v>1561</v>
      </c>
      <c r="B68" s="5" t="s">
        <v>296</v>
      </c>
      <c r="C68" s="5" t="s">
        <v>55</v>
      </c>
      <c r="D68" s="6">
        <v>45746</v>
      </c>
      <c r="E68" s="5">
        <v>3935.13</v>
      </c>
      <c r="F68" s="5" t="s">
        <v>1530</v>
      </c>
      <c r="G68" s="5"/>
    </row>
    <row r="69" spans="1:7" x14ac:dyDescent="0.3">
      <c r="A69" s="5" t="s">
        <v>1562</v>
      </c>
      <c r="B69" s="5" t="s">
        <v>296</v>
      </c>
      <c r="C69" s="5" t="s">
        <v>55</v>
      </c>
      <c r="D69" s="6">
        <v>45756</v>
      </c>
      <c r="E69" s="5">
        <v>45857.27</v>
      </c>
      <c r="F69" s="5" t="s">
        <v>1493</v>
      </c>
      <c r="G69" s="6">
        <v>45775</v>
      </c>
    </row>
    <row r="70" spans="1:7" x14ac:dyDescent="0.3">
      <c r="A70" s="5" t="s">
        <v>1563</v>
      </c>
      <c r="B70" s="5" t="s">
        <v>296</v>
      </c>
      <c r="C70" s="5" t="s">
        <v>55</v>
      </c>
      <c r="D70" s="6">
        <v>45766</v>
      </c>
      <c r="E70" s="5">
        <v>25395.4</v>
      </c>
      <c r="F70" s="5" t="s">
        <v>1493</v>
      </c>
      <c r="G70" s="6">
        <v>45814</v>
      </c>
    </row>
    <row r="71" spans="1:7" x14ac:dyDescent="0.3">
      <c r="A71" s="5" t="s">
        <v>1564</v>
      </c>
      <c r="B71" s="5" t="s">
        <v>298</v>
      </c>
      <c r="C71" s="5" t="s">
        <v>100</v>
      </c>
      <c r="D71" s="6">
        <v>46087</v>
      </c>
      <c r="E71" s="5">
        <v>1971.69</v>
      </c>
      <c r="F71" s="5" t="s">
        <v>1493</v>
      </c>
      <c r="G71" s="6">
        <v>46126</v>
      </c>
    </row>
    <row r="72" spans="1:7" x14ac:dyDescent="0.3">
      <c r="A72" s="5" t="s">
        <v>1565</v>
      </c>
      <c r="B72" s="5" t="s">
        <v>298</v>
      </c>
      <c r="C72" s="5" t="s">
        <v>100</v>
      </c>
      <c r="D72" s="6">
        <v>46127</v>
      </c>
      <c r="E72" s="5">
        <v>76718.179999999993</v>
      </c>
      <c r="F72" s="5" t="s">
        <v>1495</v>
      </c>
      <c r="G72" s="5"/>
    </row>
    <row r="73" spans="1:7" x14ac:dyDescent="0.3">
      <c r="A73" s="5" t="s">
        <v>1566</v>
      </c>
      <c r="B73" s="5" t="s">
        <v>300</v>
      </c>
      <c r="C73" s="5" t="s">
        <v>74</v>
      </c>
      <c r="D73" s="6">
        <v>46009</v>
      </c>
      <c r="E73" s="5">
        <v>167960.14</v>
      </c>
      <c r="F73" s="5" t="s">
        <v>1493</v>
      </c>
      <c r="G73" s="6">
        <v>46044</v>
      </c>
    </row>
    <row r="74" spans="1:7" x14ac:dyDescent="0.3">
      <c r="A74" s="5" t="s">
        <v>1567</v>
      </c>
      <c r="B74" s="5" t="s">
        <v>300</v>
      </c>
      <c r="C74" s="5" t="s">
        <v>74</v>
      </c>
      <c r="D74" s="6">
        <v>46025</v>
      </c>
      <c r="E74" s="5">
        <v>24877.200000000001</v>
      </c>
      <c r="F74" s="5" t="s">
        <v>1493</v>
      </c>
      <c r="G74" s="6">
        <v>46041</v>
      </c>
    </row>
    <row r="75" spans="1:7" x14ac:dyDescent="0.3">
      <c r="A75" s="5" t="s">
        <v>1568</v>
      </c>
      <c r="B75" s="5" t="s">
        <v>302</v>
      </c>
      <c r="C75" s="5" t="s">
        <v>179</v>
      </c>
      <c r="D75" s="6">
        <v>46026</v>
      </c>
      <c r="E75" s="5">
        <v>107288.54</v>
      </c>
      <c r="F75" s="5" t="s">
        <v>1493</v>
      </c>
      <c r="G75" s="6">
        <v>46042</v>
      </c>
    </row>
    <row r="76" spans="1:7" x14ac:dyDescent="0.3">
      <c r="A76" s="5" t="s">
        <v>1569</v>
      </c>
      <c r="B76" s="5" t="s">
        <v>304</v>
      </c>
      <c r="C76" s="5" t="s">
        <v>79</v>
      </c>
      <c r="D76" s="6">
        <v>45675</v>
      </c>
      <c r="E76" s="5">
        <v>83240.789999999994</v>
      </c>
      <c r="F76" s="5" t="s">
        <v>1530</v>
      </c>
      <c r="G76" s="5"/>
    </row>
    <row r="77" spans="1:7" x14ac:dyDescent="0.3">
      <c r="A77" s="5" t="s">
        <v>1570</v>
      </c>
      <c r="B77" s="5" t="s">
        <v>304</v>
      </c>
      <c r="C77" s="5" t="s">
        <v>79</v>
      </c>
      <c r="D77" s="6">
        <v>45705</v>
      </c>
      <c r="E77" s="5">
        <v>11203.36</v>
      </c>
      <c r="F77" s="5" t="s">
        <v>1493</v>
      </c>
      <c r="G77" s="6">
        <v>45719</v>
      </c>
    </row>
    <row r="78" spans="1:7" x14ac:dyDescent="0.3">
      <c r="A78" s="5" t="s">
        <v>1571</v>
      </c>
      <c r="B78" s="5" t="s">
        <v>306</v>
      </c>
      <c r="C78" s="5" t="s">
        <v>141</v>
      </c>
      <c r="D78" s="6">
        <v>45855</v>
      </c>
      <c r="E78" s="5">
        <v>221465.09</v>
      </c>
      <c r="F78" s="5" t="s">
        <v>1493</v>
      </c>
      <c r="G78" s="6">
        <v>45865</v>
      </c>
    </row>
    <row r="79" spans="1:7" x14ac:dyDescent="0.3">
      <c r="A79" s="5" t="s">
        <v>1572</v>
      </c>
      <c r="B79" s="5" t="s">
        <v>308</v>
      </c>
      <c r="C79" s="5" t="s">
        <v>88</v>
      </c>
      <c r="D79" s="6">
        <v>46142</v>
      </c>
      <c r="E79" s="5">
        <v>137676.56</v>
      </c>
      <c r="F79" s="5" t="s">
        <v>1493</v>
      </c>
      <c r="G79" s="6">
        <v>46197</v>
      </c>
    </row>
    <row r="80" spans="1:7" x14ac:dyDescent="0.3">
      <c r="A80" s="5" t="s">
        <v>1573</v>
      </c>
      <c r="B80" s="5" t="s">
        <v>308</v>
      </c>
      <c r="C80" s="5" t="s">
        <v>88</v>
      </c>
      <c r="D80" s="6">
        <v>46202</v>
      </c>
      <c r="E80" s="5">
        <v>6626.74</v>
      </c>
      <c r="F80" s="5" t="s">
        <v>1495</v>
      </c>
      <c r="G80" s="5"/>
    </row>
    <row r="81" spans="1:7" x14ac:dyDescent="0.3">
      <c r="A81" s="5" t="s">
        <v>1574</v>
      </c>
      <c r="B81" s="5" t="s">
        <v>310</v>
      </c>
      <c r="C81" s="5" t="s">
        <v>27</v>
      </c>
      <c r="D81" s="6">
        <v>45797</v>
      </c>
      <c r="E81" s="5">
        <v>83608.36</v>
      </c>
      <c r="F81" s="5" t="s">
        <v>1493</v>
      </c>
      <c r="G81" s="6">
        <v>45824</v>
      </c>
    </row>
    <row r="82" spans="1:7" x14ac:dyDescent="0.3">
      <c r="A82" s="5" t="s">
        <v>1575</v>
      </c>
      <c r="B82" s="5" t="s">
        <v>312</v>
      </c>
      <c r="C82" s="5" t="s">
        <v>106</v>
      </c>
      <c r="D82" s="6">
        <v>45658</v>
      </c>
      <c r="E82" s="5">
        <v>41786.9</v>
      </c>
      <c r="F82" s="5" t="s">
        <v>1493</v>
      </c>
      <c r="G82" s="6">
        <v>45680</v>
      </c>
    </row>
    <row r="83" spans="1:7" x14ac:dyDescent="0.3">
      <c r="A83" s="5" t="s">
        <v>1576</v>
      </c>
      <c r="B83" s="5" t="s">
        <v>312</v>
      </c>
      <c r="C83" s="5" t="s">
        <v>106</v>
      </c>
      <c r="D83" s="6">
        <v>45691</v>
      </c>
      <c r="E83" s="5">
        <v>88452.57</v>
      </c>
      <c r="F83" s="5" t="s">
        <v>1493</v>
      </c>
      <c r="G83" s="6">
        <v>45725</v>
      </c>
    </row>
    <row r="84" spans="1:7" x14ac:dyDescent="0.3">
      <c r="A84" s="5" t="s">
        <v>1577</v>
      </c>
      <c r="B84" s="5" t="s">
        <v>312</v>
      </c>
      <c r="C84" s="5" t="s">
        <v>106</v>
      </c>
      <c r="D84" s="6">
        <v>45725</v>
      </c>
      <c r="E84" s="5">
        <v>15492.81</v>
      </c>
      <c r="F84" s="5" t="s">
        <v>1493</v>
      </c>
      <c r="G84" s="6">
        <v>45774</v>
      </c>
    </row>
    <row r="85" spans="1:7" x14ac:dyDescent="0.3">
      <c r="A85" s="5" t="s">
        <v>1578</v>
      </c>
      <c r="B85" s="5" t="s">
        <v>314</v>
      </c>
      <c r="C85" s="5" t="s">
        <v>42</v>
      </c>
      <c r="D85" s="6">
        <v>45435</v>
      </c>
      <c r="E85" s="5">
        <v>81836.320000000007</v>
      </c>
      <c r="F85" s="5" t="s">
        <v>1495</v>
      </c>
      <c r="G85" s="5"/>
    </row>
    <row r="86" spans="1:7" x14ac:dyDescent="0.3">
      <c r="A86" s="5" t="s">
        <v>1579</v>
      </c>
      <c r="B86" s="5" t="s">
        <v>314</v>
      </c>
      <c r="C86" s="5" t="s">
        <v>42</v>
      </c>
      <c r="D86" s="6">
        <v>45469</v>
      </c>
      <c r="E86" s="5">
        <v>100670.49</v>
      </c>
      <c r="F86" s="5" t="s">
        <v>1493</v>
      </c>
      <c r="G86" s="6">
        <v>45486</v>
      </c>
    </row>
    <row r="87" spans="1:7" x14ac:dyDescent="0.3">
      <c r="A87" s="5" t="s">
        <v>1580</v>
      </c>
      <c r="B87" s="5" t="s">
        <v>316</v>
      </c>
      <c r="C87" s="5" t="s">
        <v>133</v>
      </c>
      <c r="D87" s="6">
        <v>46176</v>
      </c>
      <c r="E87" s="5">
        <v>43625.21</v>
      </c>
      <c r="F87" s="5" t="s">
        <v>1493</v>
      </c>
      <c r="G87" s="6">
        <v>46195</v>
      </c>
    </row>
    <row r="88" spans="1:7" x14ac:dyDescent="0.3">
      <c r="A88" s="5" t="s">
        <v>1581</v>
      </c>
      <c r="B88" s="5" t="s">
        <v>316</v>
      </c>
      <c r="C88" s="5" t="s">
        <v>133</v>
      </c>
      <c r="D88" s="6">
        <v>46249</v>
      </c>
      <c r="E88" s="5">
        <v>52786.03</v>
      </c>
      <c r="F88" s="5" t="s">
        <v>1495</v>
      </c>
      <c r="G88" s="5"/>
    </row>
    <row r="89" spans="1:7" x14ac:dyDescent="0.3">
      <c r="A89" s="5" t="s">
        <v>1582</v>
      </c>
      <c r="B89" s="5" t="s">
        <v>318</v>
      </c>
      <c r="C89" s="5" t="s">
        <v>169</v>
      </c>
      <c r="D89" s="6">
        <v>45360</v>
      </c>
      <c r="E89" s="5">
        <v>93587.22</v>
      </c>
      <c r="F89" s="5" t="s">
        <v>1493</v>
      </c>
      <c r="G89" s="6">
        <v>45401</v>
      </c>
    </row>
    <row r="90" spans="1:7" x14ac:dyDescent="0.3">
      <c r="A90" s="5" t="s">
        <v>1583</v>
      </c>
      <c r="B90" s="5" t="s">
        <v>320</v>
      </c>
      <c r="C90" s="5" t="s">
        <v>38</v>
      </c>
      <c r="D90" s="6">
        <v>45390</v>
      </c>
      <c r="E90" s="5">
        <v>175381.98</v>
      </c>
      <c r="F90" s="5" t="s">
        <v>1495</v>
      </c>
      <c r="G90" s="5"/>
    </row>
    <row r="91" spans="1:7" x14ac:dyDescent="0.3">
      <c r="A91" s="5" t="s">
        <v>1584</v>
      </c>
      <c r="B91" s="5" t="s">
        <v>322</v>
      </c>
      <c r="C91" s="5" t="s">
        <v>116</v>
      </c>
      <c r="D91" s="6">
        <v>45687</v>
      </c>
      <c r="E91" s="5">
        <v>86416.82</v>
      </c>
      <c r="F91" s="5" t="s">
        <v>1493</v>
      </c>
      <c r="G91" s="6">
        <v>45713</v>
      </c>
    </row>
    <row r="92" spans="1:7" x14ac:dyDescent="0.3">
      <c r="A92" s="5" t="s">
        <v>1585</v>
      </c>
      <c r="B92" s="5" t="s">
        <v>324</v>
      </c>
      <c r="C92" s="5" t="s">
        <v>55</v>
      </c>
      <c r="D92" s="6">
        <v>45316</v>
      </c>
      <c r="E92" s="5">
        <v>45458.58</v>
      </c>
      <c r="F92" s="5" t="s">
        <v>1493</v>
      </c>
      <c r="G92" s="6">
        <v>45363</v>
      </c>
    </row>
    <row r="93" spans="1:7" x14ac:dyDescent="0.3">
      <c r="A93" s="5" t="s">
        <v>1586</v>
      </c>
      <c r="B93" s="5" t="s">
        <v>324</v>
      </c>
      <c r="C93" s="5" t="s">
        <v>55</v>
      </c>
      <c r="D93" s="6">
        <v>45336</v>
      </c>
      <c r="E93" s="5">
        <v>178407.15</v>
      </c>
      <c r="F93" s="5" t="s">
        <v>1493</v>
      </c>
      <c r="G93" s="6">
        <v>45360</v>
      </c>
    </row>
    <row r="94" spans="1:7" x14ac:dyDescent="0.3">
      <c r="A94" s="5" t="s">
        <v>1587</v>
      </c>
      <c r="B94" s="5" t="s">
        <v>326</v>
      </c>
      <c r="C94" s="5" t="s">
        <v>77</v>
      </c>
      <c r="D94" s="6">
        <v>46182</v>
      </c>
      <c r="E94" s="5">
        <v>59095.59</v>
      </c>
      <c r="F94" s="5" t="s">
        <v>1493</v>
      </c>
      <c r="G94" s="6">
        <v>46206</v>
      </c>
    </row>
    <row r="95" spans="1:7" x14ac:dyDescent="0.3">
      <c r="A95" s="5" t="s">
        <v>1588</v>
      </c>
      <c r="B95" s="5" t="s">
        <v>328</v>
      </c>
      <c r="C95" s="5" t="s">
        <v>151</v>
      </c>
      <c r="D95" s="6">
        <v>45760</v>
      </c>
      <c r="E95" s="5">
        <v>7625.4</v>
      </c>
      <c r="F95" s="5" t="s">
        <v>1495</v>
      </c>
      <c r="G95" s="5"/>
    </row>
    <row r="96" spans="1:7" x14ac:dyDescent="0.3">
      <c r="A96" s="5" t="s">
        <v>1589</v>
      </c>
      <c r="B96" s="5" t="s">
        <v>328</v>
      </c>
      <c r="C96" s="5" t="s">
        <v>151</v>
      </c>
      <c r="D96" s="6">
        <v>45814</v>
      </c>
      <c r="E96" s="5">
        <v>12035.64</v>
      </c>
      <c r="F96" s="5" t="s">
        <v>1493</v>
      </c>
      <c r="G96" s="6">
        <v>45871</v>
      </c>
    </row>
    <row r="97" spans="1:7" x14ac:dyDescent="0.3">
      <c r="A97" s="5" t="s">
        <v>1590</v>
      </c>
      <c r="B97" s="5" t="s">
        <v>328</v>
      </c>
      <c r="C97" s="5" t="s">
        <v>151</v>
      </c>
      <c r="D97" s="6">
        <v>45868</v>
      </c>
      <c r="E97" s="5">
        <v>28854.84</v>
      </c>
      <c r="F97" s="5" t="s">
        <v>1493</v>
      </c>
      <c r="G97" s="6">
        <v>45917</v>
      </c>
    </row>
    <row r="98" spans="1:7" x14ac:dyDescent="0.3">
      <c r="A98" s="5" t="s">
        <v>1591</v>
      </c>
      <c r="B98" s="5" t="s">
        <v>330</v>
      </c>
      <c r="C98" s="5" t="s">
        <v>118</v>
      </c>
      <c r="D98" s="6">
        <v>45775</v>
      </c>
      <c r="E98" s="5">
        <v>26816.29</v>
      </c>
      <c r="F98" s="5" t="s">
        <v>1493</v>
      </c>
      <c r="G98" s="6">
        <v>45835</v>
      </c>
    </row>
    <row r="99" spans="1:7" x14ac:dyDescent="0.3">
      <c r="A99" s="5" t="s">
        <v>1592</v>
      </c>
      <c r="B99" s="5" t="s">
        <v>330</v>
      </c>
      <c r="C99" s="5" t="s">
        <v>118</v>
      </c>
      <c r="D99" s="6">
        <v>45803</v>
      </c>
      <c r="E99" s="5">
        <v>10075.89</v>
      </c>
      <c r="F99" s="5" t="s">
        <v>1493</v>
      </c>
      <c r="G99" s="6">
        <v>45832</v>
      </c>
    </row>
    <row r="100" spans="1:7" x14ac:dyDescent="0.3">
      <c r="A100" s="5" t="s">
        <v>1593</v>
      </c>
      <c r="B100" s="5" t="s">
        <v>330</v>
      </c>
      <c r="C100" s="5" t="s">
        <v>118</v>
      </c>
      <c r="D100" s="6">
        <v>45832</v>
      </c>
      <c r="E100" s="5">
        <v>110936.39</v>
      </c>
      <c r="F100" s="5" t="s">
        <v>1493</v>
      </c>
      <c r="G100" s="6">
        <v>45856</v>
      </c>
    </row>
    <row r="101" spans="1:7" x14ac:dyDescent="0.3">
      <c r="A101" s="5" t="s">
        <v>1594</v>
      </c>
      <c r="B101" s="5" t="s">
        <v>332</v>
      </c>
      <c r="C101" s="5" t="s">
        <v>155</v>
      </c>
      <c r="D101" s="6">
        <v>45856</v>
      </c>
      <c r="E101" s="5">
        <v>61837.87</v>
      </c>
      <c r="F101" s="5" t="s">
        <v>1493</v>
      </c>
      <c r="G101" s="6">
        <v>45900</v>
      </c>
    </row>
    <row r="102" spans="1:7" x14ac:dyDescent="0.3">
      <c r="A102" s="5" t="s">
        <v>1595</v>
      </c>
      <c r="B102" s="5" t="s">
        <v>332</v>
      </c>
      <c r="C102" s="5" t="s">
        <v>155</v>
      </c>
      <c r="D102" s="6">
        <v>45943</v>
      </c>
      <c r="E102" s="5">
        <v>21258.82</v>
      </c>
      <c r="F102" s="5" t="s">
        <v>1493</v>
      </c>
      <c r="G102" s="6">
        <v>45958</v>
      </c>
    </row>
    <row r="103" spans="1:7" x14ac:dyDescent="0.3">
      <c r="A103" s="5" t="s">
        <v>1596</v>
      </c>
      <c r="B103" s="5" t="s">
        <v>334</v>
      </c>
      <c r="C103" s="5" t="s">
        <v>11</v>
      </c>
      <c r="D103" s="6">
        <v>45442</v>
      </c>
      <c r="E103" s="5">
        <v>2055.88</v>
      </c>
      <c r="F103" s="5" t="s">
        <v>1530</v>
      </c>
      <c r="G103" s="5"/>
    </row>
    <row r="104" spans="1:7" x14ac:dyDescent="0.3">
      <c r="A104" s="5" t="s">
        <v>1597</v>
      </c>
      <c r="B104" s="5" t="s">
        <v>334</v>
      </c>
      <c r="C104" s="5" t="s">
        <v>11</v>
      </c>
      <c r="D104" s="6">
        <v>45489</v>
      </c>
      <c r="E104" s="5">
        <v>90852.18</v>
      </c>
      <c r="F104" s="5" t="s">
        <v>1493</v>
      </c>
      <c r="G104" s="6">
        <v>45528</v>
      </c>
    </row>
    <row r="105" spans="1:7" x14ac:dyDescent="0.3">
      <c r="A105" s="5" t="s">
        <v>1598</v>
      </c>
      <c r="B105" s="5" t="s">
        <v>334</v>
      </c>
      <c r="C105" s="5" t="s">
        <v>11</v>
      </c>
      <c r="D105" s="6">
        <v>45536</v>
      </c>
      <c r="E105" s="5">
        <v>8639.91</v>
      </c>
      <c r="F105" s="5" t="s">
        <v>1495</v>
      </c>
      <c r="G105" s="5"/>
    </row>
    <row r="106" spans="1:7" x14ac:dyDescent="0.3">
      <c r="A106" s="5" t="s">
        <v>1599</v>
      </c>
      <c r="B106" s="5" t="s">
        <v>336</v>
      </c>
      <c r="C106" s="5" t="s">
        <v>135</v>
      </c>
      <c r="D106" s="6">
        <v>45435</v>
      </c>
      <c r="E106" s="5">
        <v>195124.64</v>
      </c>
      <c r="F106" s="5" t="s">
        <v>1495</v>
      </c>
      <c r="G106" s="5"/>
    </row>
    <row r="107" spans="1:7" x14ac:dyDescent="0.3">
      <c r="A107" s="5" t="s">
        <v>1600</v>
      </c>
      <c r="B107" s="5" t="s">
        <v>338</v>
      </c>
      <c r="C107" s="5" t="s">
        <v>157</v>
      </c>
      <c r="D107" s="6">
        <v>45860</v>
      </c>
      <c r="E107" s="5">
        <v>24468.22</v>
      </c>
      <c r="F107" s="5" t="s">
        <v>1495</v>
      </c>
      <c r="G107" s="5"/>
    </row>
    <row r="108" spans="1:7" x14ac:dyDescent="0.3">
      <c r="A108" s="5" t="s">
        <v>1601</v>
      </c>
      <c r="B108" s="5" t="s">
        <v>338</v>
      </c>
      <c r="C108" s="5" t="s">
        <v>157</v>
      </c>
      <c r="D108" s="6">
        <v>45920</v>
      </c>
      <c r="E108" s="5">
        <v>57383.18</v>
      </c>
      <c r="F108" s="5" t="s">
        <v>1493</v>
      </c>
      <c r="G108" s="6">
        <v>45937</v>
      </c>
    </row>
    <row r="109" spans="1:7" x14ac:dyDescent="0.3">
      <c r="A109" s="5" t="s">
        <v>1602</v>
      </c>
      <c r="B109" s="5" t="s">
        <v>338</v>
      </c>
      <c r="C109" s="5" t="s">
        <v>157</v>
      </c>
      <c r="D109" s="6">
        <v>45980</v>
      </c>
      <c r="E109" s="5">
        <v>38555.61</v>
      </c>
      <c r="F109" s="5" t="s">
        <v>1493</v>
      </c>
      <c r="G109" s="6">
        <v>46020</v>
      </c>
    </row>
    <row r="110" spans="1:7" x14ac:dyDescent="0.3">
      <c r="A110" s="5" t="s">
        <v>1603</v>
      </c>
      <c r="B110" s="5" t="s">
        <v>340</v>
      </c>
      <c r="C110" s="5" t="s">
        <v>129</v>
      </c>
      <c r="D110" s="6">
        <v>45330</v>
      </c>
      <c r="E110" s="5">
        <v>14951.22</v>
      </c>
      <c r="F110" s="5" t="s">
        <v>1493</v>
      </c>
      <c r="G110" s="6">
        <v>45387</v>
      </c>
    </row>
    <row r="111" spans="1:7" x14ac:dyDescent="0.3">
      <c r="A111" s="5" t="s">
        <v>1604</v>
      </c>
      <c r="B111" s="5" t="s">
        <v>340</v>
      </c>
      <c r="C111" s="5" t="s">
        <v>129</v>
      </c>
      <c r="D111" s="6">
        <v>45387</v>
      </c>
      <c r="E111" s="5">
        <v>76006.81</v>
      </c>
      <c r="F111" s="5" t="s">
        <v>1493</v>
      </c>
      <c r="G111" s="6">
        <v>45443</v>
      </c>
    </row>
    <row r="112" spans="1:7" x14ac:dyDescent="0.3">
      <c r="A112" s="5" t="s">
        <v>1605</v>
      </c>
      <c r="B112" s="5" t="s">
        <v>342</v>
      </c>
      <c r="C112" s="5" t="s">
        <v>133</v>
      </c>
      <c r="D112" s="6">
        <v>45400</v>
      </c>
      <c r="E112" s="5">
        <v>112976.76</v>
      </c>
      <c r="F112" s="5" t="s">
        <v>1493</v>
      </c>
      <c r="G112" s="6">
        <v>45441</v>
      </c>
    </row>
    <row r="113" spans="1:7" x14ac:dyDescent="0.3">
      <c r="A113" s="5" t="s">
        <v>1606</v>
      </c>
      <c r="B113" s="5" t="s">
        <v>342</v>
      </c>
      <c r="C113" s="5" t="s">
        <v>133</v>
      </c>
      <c r="D113" s="6">
        <v>45485</v>
      </c>
      <c r="E113" s="5">
        <v>22821.71</v>
      </c>
      <c r="F113" s="5" t="s">
        <v>1530</v>
      </c>
      <c r="G113" s="5"/>
    </row>
    <row r="114" spans="1:7" x14ac:dyDescent="0.3">
      <c r="A114" s="5" t="s">
        <v>1607</v>
      </c>
      <c r="B114" s="5" t="s">
        <v>344</v>
      </c>
      <c r="C114" s="5" t="s">
        <v>98</v>
      </c>
      <c r="D114" s="6">
        <v>45984</v>
      </c>
      <c r="E114" s="5">
        <v>101729.97</v>
      </c>
      <c r="F114" s="5" t="s">
        <v>1495</v>
      </c>
      <c r="G114" s="5"/>
    </row>
    <row r="115" spans="1:7" x14ac:dyDescent="0.3">
      <c r="A115" s="5" t="s">
        <v>1608</v>
      </c>
      <c r="B115" s="5" t="s">
        <v>346</v>
      </c>
      <c r="C115" s="5" t="s">
        <v>77</v>
      </c>
      <c r="D115" s="6">
        <v>45333</v>
      </c>
      <c r="E115" s="5">
        <v>34051.120000000003</v>
      </c>
      <c r="F115" s="5" t="s">
        <v>1493</v>
      </c>
      <c r="G115" s="6">
        <v>45387</v>
      </c>
    </row>
    <row r="116" spans="1:7" x14ac:dyDescent="0.3">
      <c r="A116" s="5" t="s">
        <v>1609</v>
      </c>
      <c r="B116" s="5" t="s">
        <v>346</v>
      </c>
      <c r="C116" s="5" t="s">
        <v>77</v>
      </c>
      <c r="D116" s="6">
        <v>45385</v>
      </c>
      <c r="E116" s="5">
        <v>16384.509999999998</v>
      </c>
      <c r="F116" s="5" t="s">
        <v>1493</v>
      </c>
      <c r="G116" s="6">
        <v>45409</v>
      </c>
    </row>
    <row r="117" spans="1:7" x14ac:dyDescent="0.3">
      <c r="A117" s="5" t="s">
        <v>1610</v>
      </c>
      <c r="B117" s="5" t="s">
        <v>348</v>
      </c>
      <c r="C117" s="5" t="s">
        <v>83</v>
      </c>
      <c r="D117" s="6">
        <v>45477</v>
      </c>
      <c r="E117" s="5">
        <v>18768.61</v>
      </c>
      <c r="F117" s="5" t="s">
        <v>1493</v>
      </c>
      <c r="G117" s="6">
        <v>45504</v>
      </c>
    </row>
    <row r="118" spans="1:7" x14ac:dyDescent="0.3">
      <c r="A118" s="5" t="s">
        <v>1611</v>
      </c>
      <c r="B118" s="5" t="s">
        <v>348</v>
      </c>
      <c r="C118" s="5" t="s">
        <v>83</v>
      </c>
      <c r="D118" s="6">
        <v>45521</v>
      </c>
      <c r="E118" s="5">
        <v>44140.26</v>
      </c>
      <c r="F118" s="5" t="s">
        <v>1493</v>
      </c>
      <c r="G118" s="6">
        <v>45543</v>
      </c>
    </row>
    <row r="119" spans="1:7" x14ac:dyDescent="0.3">
      <c r="A119" s="5" t="s">
        <v>1612</v>
      </c>
      <c r="B119" s="5" t="s">
        <v>348</v>
      </c>
      <c r="C119" s="5" t="s">
        <v>83</v>
      </c>
      <c r="D119" s="6">
        <v>45565</v>
      </c>
      <c r="E119" s="5">
        <v>9237</v>
      </c>
      <c r="F119" s="5" t="s">
        <v>1493</v>
      </c>
      <c r="G119" s="6">
        <v>45598</v>
      </c>
    </row>
    <row r="120" spans="1:7" x14ac:dyDescent="0.3">
      <c r="A120" s="5" t="s">
        <v>1613</v>
      </c>
      <c r="B120" s="5" t="s">
        <v>350</v>
      </c>
      <c r="C120" s="5" t="s">
        <v>64</v>
      </c>
      <c r="D120" s="6">
        <v>45689</v>
      </c>
      <c r="E120" s="5">
        <v>153938.07</v>
      </c>
      <c r="F120" s="5" t="s">
        <v>1493</v>
      </c>
      <c r="G120" s="6">
        <v>45738</v>
      </c>
    </row>
    <row r="121" spans="1:7" x14ac:dyDescent="0.3">
      <c r="A121" s="5" t="s">
        <v>1614</v>
      </c>
      <c r="B121" s="5" t="s">
        <v>352</v>
      </c>
      <c r="C121" s="5" t="s">
        <v>40</v>
      </c>
      <c r="D121" s="6">
        <v>45514</v>
      </c>
      <c r="E121" s="5">
        <v>30268.6</v>
      </c>
      <c r="F121" s="5" t="s">
        <v>1495</v>
      </c>
      <c r="G121" s="5"/>
    </row>
    <row r="122" spans="1:7" x14ac:dyDescent="0.3">
      <c r="A122" s="5" t="s">
        <v>1615</v>
      </c>
      <c r="B122" s="5" t="s">
        <v>352</v>
      </c>
      <c r="C122" s="5" t="s">
        <v>40</v>
      </c>
      <c r="D122" s="6">
        <v>45540</v>
      </c>
      <c r="E122" s="5">
        <v>60053.41</v>
      </c>
      <c r="F122" s="5" t="s">
        <v>1493</v>
      </c>
      <c r="G122" s="6">
        <v>45563</v>
      </c>
    </row>
    <row r="123" spans="1:7" x14ac:dyDescent="0.3">
      <c r="A123" s="5" t="s">
        <v>1616</v>
      </c>
      <c r="B123" s="5" t="s">
        <v>352</v>
      </c>
      <c r="C123" s="5" t="s">
        <v>40</v>
      </c>
      <c r="D123" s="6">
        <v>45566</v>
      </c>
      <c r="E123" s="5">
        <v>20773.18</v>
      </c>
      <c r="F123" s="5" t="s">
        <v>1530</v>
      </c>
      <c r="G123" s="5"/>
    </row>
    <row r="124" spans="1:7" x14ac:dyDescent="0.3">
      <c r="A124" s="5" t="s">
        <v>1617</v>
      </c>
      <c r="B124" s="5" t="s">
        <v>354</v>
      </c>
      <c r="C124" s="5" t="s">
        <v>106</v>
      </c>
      <c r="D124" s="6">
        <v>45925</v>
      </c>
      <c r="E124" s="5">
        <v>19765</v>
      </c>
      <c r="F124" s="5" t="s">
        <v>1493</v>
      </c>
      <c r="G124" s="6">
        <v>45962</v>
      </c>
    </row>
    <row r="125" spans="1:7" x14ac:dyDescent="0.3">
      <c r="A125" s="5" t="s">
        <v>1618</v>
      </c>
      <c r="B125" s="5" t="s">
        <v>354</v>
      </c>
      <c r="C125" s="5" t="s">
        <v>106</v>
      </c>
      <c r="D125" s="6">
        <v>45967</v>
      </c>
      <c r="E125" s="5">
        <v>55200.68</v>
      </c>
      <c r="F125" s="5" t="s">
        <v>1493</v>
      </c>
      <c r="G125" s="6">
        <v>45987</v>
      </c>
    </row>
    <row r="126" spans="1:7" x14ac:dyDescent="0.3">
      <c r="A126" s="5" t="s">
        <v>1619</v>
      </c>
      <c r="B126" s="5" t="s">
        <v>354</v>
      </c>
      <c r="C126" s="5" t="s">
        <v>106</v>
      </c>
      <c r="D126" s="6">
        <v>46009</v>
      </c>
      <c r="E126" s="5">
        <v>50625.61</v>
      </c>
      <c r="F126" s="5" t="s">
        <v>1493</v>
      </c>
      <c r="G126" s="6">
        <v>46024</v>
      </c>
    </row>
    <row r="127" spans="1:7" x14ac:dyDescent="0.3">
      <c r="A127" s="5" t="s">
        <v>1620</v>
      </c>
      <c r="B127" s="5" t="s">
        <v>356</v>
      </c>
      <c r="C127" s="5" t="s">
        <v>40</v>
      </c>
      <c r="D127" s="6">
        <v>45424</v>
      </c>
      <c r="E127" s="5">
        <v>95804.99</v>
      </c>
      <c r="F127" s="5" t="s">
        <v>1493</v>
      </c>
      <c r="G127" s="6">
        <v>45458</v>
      </c>
    </row>
    <row r="128" spans="1:7" x14ac:dyDescent="0.3">
      <c r="A128" s="5" t="s">
        <v>1621</v>
      </c>
      <c r="B128" s="5" t="s">
        <v>358</v>
      </c>
      <c r="C128" s="5" t="s">
        <v>98</v>
      </c>
      <c r="D128" s="6">
        <v>45454</v>
      </c>
      <c r="E128" s="5">
        <v>92934.41</v>
      </c>
      <c r="F128" s="5" t="s">
        <v>1493</v>
      </c>
      <c r="G128" s="6">
        <v>45464</v>
      </c>
    </row>
    <row r="129" spans="1:7" x14ac:dyDescent="0.3">
      <c r="A129" s="5" t="s">
        <v>1622</v>
      </c>
      <c r="B129" s="5" t="s">
        <v>358</v>
      </c>
      <c r="C129" s="5" t="s">
        <v>98</v>
      </c>
      <c r="D129" s="6">
        <v>45473</v>
      </c>
      <c r="E129" s="5">
        <v>36407.93</v>
      </c>
      <c r="F129" s="5" t="s">
        <v>1530</v>
      </c>
      <c r="G129" s="5"/>
    </row>
    <row r="130" spans="1:7" x14ac:dyDescent="0.3">
      <c r="A130" s="5" t="s">
        <v>1623</v>
      </c>
      <c r="B130" s="5" t="s">
        <v>358</v>
      </c>
      <c r="C130" s="5" t="s">
        <v>98</v>
      </c>
      <c r="D130" s="6">
        <v>45493</v>
      </c>
      <c r="E130" s="5">
        <v>59268</v>
      </c>
      <c r="F130" s="5" t="s">
        <v>1493</v>
      </c>
      <c r="G130" s="6">
        <v>45527</v>
      </c>
    </row>
    <row r="131" spans="1:7" x14ac:dyDescent="0.3">
      <c r="A131" s="5" t="s">
        <v>1624</v>
      </c>
      <c r="B131" s="5" t="s">
        <v>360</v>
      </c>
      <c r="C131" s="5" t="s">
        <v>145</v>
      </c>
      <c r="D131" s="6">
        <v>45506</v>
      </c>
      <c r="E131" s="5">
        <v>78528.740000000005</v>
      </c>
      <c r="F131" s="5" t="s">
        <v>1493</v>
      </c>
      <c r="G131" s="6">
        <v>45517</v>
      </c>
    </row>
    <row r="132" spans="1:7" x14ac:dyDescent="0.3">
      <c r="A132" s="5" t="s">
        <v>1625</v>
      </c>
      <c r="B132" s="5" t="s">
        <v>360</v>
      </c>
      <c r="C132" s="5" t="s">
        <v>145</v>
      </c>
      <c r="D132" s="6">
        <v>45542</v>
      </c>
      <c r="E132" s="5">
        <v>33808.870000000003</v>
      </c>
      <c r="F132" s="5" t="s">
        <v>1530</v>
      </c>
      <c r="G132" s="5"/>
    </row>
    <row r="133" spans="1:7" x14ac:dyDescent="0.3">
      <c r="A133" s="5" t="s">
        <v>1626</v>
      </c>
      <c r="B133" s="5" t="s">
        <v>360</v>
      </c>
      <c r="C133" s="5" t="s">
        <v>145</v>
      </c>
      <c r="D133" s="6">
        <v>45578</v>
      </c>
      <c r="E133" s="5">
        <v>81558.78</v>
      </c>
      <c r="F133" s="5" t="s">
        <v>1495</v>
      </c>
      <c r="G133" s="5"/>
    </row>
    <row r="134" spans="1:7" x14ac:dyDescent="0.3">
      <c r="A134" s="5" t="s">
        <v>1627</v>
      </c>
      <c r="B134" s="5" t="s">
        <v>362</v>
      </c>
      <c r="C134" s="5" t="s">
        <v>104</v>
      </c>
      <c r="D134" s="6">
        <v>46024</v>
      </c>
      <c r="E134" s="5">
        <v>160151.48000000001</v>
      </c>
      <c r="F134" s="5" t="s">
        <v>1493</v>
      </c>
      <c r="G134" s="6">
        <v>46065</v>
      </c>
    </row>
    <row r="135" spans="1:7" x14ac:dyDescent="0.3">
      <c r="A135" s="5" t="s">
        <v>1628</v>
      </c>
      <c r="B135" s="5" t="s">
        <v>364</v>
      </c>
      <c r="C135" s="5" t="s">
        <v>135</v>
      </c>
      <c r="D135" s="6">
        <v>45526</v>
      </c>
      <c r="E135" s="5">
        <v>95554.26</v>
      </c>
      <c r="F135" s="5" t="s">
        <v>1493</v>
      </c>
      <c r="G135" s="6">
        <v>45548</v>
      </c>
    </row>
    <row r="136" spans="1:7" x14ac:dyDescent="0.3">
      <c r="A136" s="5" t="s">
        <v>1629</v>
      </c>
      <c r="B136" s="5" t="s">
        <v>364</v>
      </c>
      <c r="C136" s="5" t="s">
        <v>135</v>
      </c>
      <c r="D136" s="6">
        <v>45566</v>
      </c>
      <c r="E136" s="5">
        <v>18497.8</v>
      </c>
      <c r="F136" s="5" t="s">
        <v>1495</v>
      </c>
      <c r="G136" s="5"/>
    </row>
    <row r="137" spans="1:7" x14ac:dyDescent="0.3">
      <c r="A137" s="5" t="s">
        <v>1630</v>
      </c>
      <c r="B137" s="5" t="s">
        <v>366</v>
      </c>
      <c r="C137" s="5" t="s">
        <v>137</v>
      </c>
      <c r="D137" s="6">
        <v>46134</v>
      </c>
      <c r="E137" s="5">
        <v>104795.45</v>
      </c>
      <c r="F137" s="5" t="s">
        <v>1493</v>
      </c>
      <c r="G137" s="6">
        <v>46176</v>
      </c>
    </row>
    <row r="138" spans="1:7" x14ac:dyDescent="0.3">
      <c r="A138" s="5" t="s">
        <v>1631</v>
      </c>
      <c r="B138" s="5" t="s">
        <v>368</v>
      </c>
      <c r="C138" s="5" t="s">
        <v>72</v>
      </c>
      <c r="D138" s="6">
        <v>45949</v>
      </c>
      <c r="E138" s="5">
        <v>38325.07</v>
      </c>
      <c r="F138" s="5" t="s">
        <v>1530</v>
      </c>
      <c r="G138" s="5"/>
    </row>
    <row r="139" spans="1:7" x14ac:dyDescent="0.3">
      <c r="A139" s="5" t="s">
        <v>1632</v>
      </c>
      <c r="B139" s="5" t="s">
        <v>368</v>
      </c>
      <c r="C139" s="5" t="s">
        <v>72</v>
      </c>
      <c r="D139" s="6">
        <v>45978</v>
      </c>
      <c r="E139" s="5">
        <v>47154.13</v>
      </c>
      <c r="F139" s="5" t="s">
        <v>1493</v>
      </c>
      <c r="G139" s="6">
        <v>46019</v>
      </c>
    </row>
    <row r="140" spans="1:7" x14ac:dyDescent="0.3">
      <c r="A140" s="5" t="s">
        <v>1633</v>
      </c>
      <c r="B140" s="5" t="s">
        <v>370</v>
      </c>
      <c r="C140" s="5" t="s">
        <v>67</v>
      </c>
      <c r="D140" s="6">
        <v>46042</v>
      </c>
      <c r="E140" s="5">
        <v>94447.64</v>
      </c>
      <c r="F140" s="5" t="s">
        <v>1495</v>
      </c>
      <c r="G140" s="5"/>
    </row>
    <row r="141" spans="1:7" x14ac:dyDescent="0.3">
      <c r="A141" s="5" t="s">
        <v>1634</v>
      </c>
      <c r="B141" s="5" t="s">
        <v>372</v>
      </c>
      <c r="C141" s="5" t="s">
        <v>165</v>
      </c>
      <c r="D141" s="6">
        <v>45879</v>
      </c>
      <c r="E141" s="5">
        <v>21839.23</v>
      </c>
      <c r="F141" s="5" t="s">
        <v>1495</v>
      </c>
      <c r="G141" s="5"/>
    </row>
    <row r="142" spans="1:7" x14ac:dyDescent="0.3">
      <c r="A142" s="5" t="s">
        <v>1635</v>
      </c>
      <c r="B142" s="5" t="s">
        <v>372</v>
      </c>
      <c r="C142" s="5" t="s">
        <v>165</v>
      </c>
      <c r="D142" s="6">
        <v>45919</v>
      </c>
      <c r="E142" s="5">
        <v>47388.959999999999</v>
      </c>
      <c r="F142" s="5" t="s">
        <v>1493</v>
      </c>
      <c r="G142" s="6">
        <v>45952</v>
      </c>
    </row>
    <row r="143" spans="1:7" x14ac:dyDescent="0.3">
      <c r="A143" s="5" t="s">
        <v>1636</v>
      </c>
      <c r="B143" s="5" t="s">
        <v>374</v>
      </c>
      <c r="C143" s="5" t="s">
        <v>139</v>
      </c>
      <c r="D143" s="6">
        <v>45300</v>
      </c>
      <c r="E143" s="5">
        <v>3419.06</v>
      </c>
      <c r="F143" s="5" t="s">
        <v>1493</v>
      </c>
      <c r="G143" s="6">
        <v>45336</v>
      </c>
    </row>
    <row r="144" spans="1:7" x14ac:dyDescent="0.3">
      <c r="A144" s="5" t="s">
        <v>1637</v>
      </c>
      <c r="B144" s="5" t="s">
        <v>374</v>
      </c>
      <c r="C144" s="5" t="s">
        <v>139</v>
      </c>
      <c r="D144" s="6">
        <v>45336</v>
      </c>
      <c r="E144" s="5">
        <v>40620.93</v>
      </c>
      <c r="F144" s="5" t="s">
        <v>1493</v>
      </c>
      <c r="G144" s="6">
        <v>45349</v>
      </c>
    </row>
    <row r="145" spans="1:7" x14ac:dyDescent="0.3">
      <c r="A145" s="5" t="s">
        <v>1638</v>
      </c>
      <c r="B145" s="5" t="s">
        <v>374</v>
      </c>
      <c r="C145" s="5" t="s">
        <v>139</v>
      </c>
      <c r="D145" s="6">
        <v>45373</v>
      </c>
      <c r="E145" s="5">
        <v>43363.93</v>
      </c>
      <c r="F145" s="5" t="s">
        <v>1493</v>
      </c>
      <c r="G145" s="6">
        <v>45406</v>
      </c>
    </row>
    <row r="146" spans="1:7" x14ac:dyDescent="0.3">
      <c r="A146" s="5" t="s">
        <v>1639</v>
      </c>
      <c r="B146" s="5" t="s">
        <v>376</v>
      </c>
      <c r="C146" s="5" t="s">
        <v>92</v>
      </c>
      <c r="D146" s="6">
        <v>45365</v>
      </c>
      <c r="E146" s="5">
        <v>36249.120000000003</v>
      </c>
      <c r="F146" s="5" t="s">
        <v>1493</v>
      </c>
      <c r="G146" s="6">
        <v>45397</v>
      </c>
    </row>
    <row r="147" spans="1:7" x14ac:dyDescent="0.3">
      <c r="A147" s="5" t="s">
        <v>1640</v>
      </c>
      <c r="B147" s="5" t="s">
        <v>376</v>
      </c>
      <c r="C147" s="5" t="s">
        <v>92</v>
      </c>
      <c r="D147" s="6">
        <v>45419</v>
      </c>
      <c r="E147" s="5">
        <v>99290.25</v>
      </c>
      <c r="F147" s="5" t="s">
        <v>1530</v>
      </c>
      <c r="G147" s="5"/>
    </row>
    <row r="148" spans="1:7" x14ac:dyDescent="0.3">
      <c r="A148" s="5" t="s">
        <v>1641</v>
      </c>
      <c r="B148" s="5" t="s">
        <v>376</v>
      </c>
      <c r="C148" s="5" t="s">
        <v>92</v>
      </c>
      <c r="D148" s="6">
        <v>45473</v>
      </c>
      <c r="E148" s="5">
        <v>9508.7999999999993</v>
      </c>
      <c r="F148" s="5" t="s">
        <v>1493</v>
      </c>
      <c r="G148" s="6">
        <v>45511</v>
      </c>
    </row>
    <row r="149" spans="1:7" x14ac:dyDescent="0.3">
      <c r="A149" s="5" t="s">
        <v>1642</v>
      </c>
      <c r="B149" s="5" t="s">
        <v>378</v>
      </c>
      <c r="C149" s="5" t="s">
        <v>98</v>
      </c>
      <c r="D149" s="6">
        <v>45783</v>
      </c>
      <c r="E149" s="5">
        <v>29115.99</v>
      </c>
      <c r="F149" s="5" t="s">
        <v>1495</v>
      </c>
      <c r="G149" s="5"/>
    </row>
    <row r="150" spans="1:7" x14ac:dyDescent="0.3">
      <c r="A150" s="5" t="s">
        <v>1643</v>
      </c>
      <c r="B150" s="5" t="s">
        <v>378</v>
      </c>
      <c r="C150" s="5" t="s">
        <v>98</v>
      </c>
      <c r="D150" s="6">
        <v>45802</v>
      </c>
      <c r="E150" s="5">
        <v>1929.16</v>
      </c>
      <c r="F150" s="5" t="s">
        <v>1493</v>
      </c>
      <c r="G150" s="6">
        <v>45845</v>
      </c>
    </row>
    <row r="151" spans="1:7" x14ac:dyDescent="0.3">
      <c r="A151" s="5" t="s">
        <v>1644</v>
      </c>
      <c r="B151" s="5" t="s">
        <v>378</v>
      </c>
      <c r="C151" s="5" t="s">
        <v>98</v>
      </c>
      <c r="D151" s="6">
        <v>45821</v>
      </c>
      <c r="E151" s="5">
        <v>40888.730000000003</v>
      </c>
      <c r="F151" s="5" t="s">
        <v>1493</v>
      </c>
      <c r="G151" s="6">
        <v>45851</v>
      </c>
    </row>
    <row r="152" spans="1:7" x14ac:dyDescent="0.3">
      <c r="A152" s="5" t="s">
        <v>1645</v>
      </c>
      <c r="B152" s="5" t="s">
        <v>380</v>
      </c>
      <c r="C152" s="5" t="s">
        <v>62</v>
      </c>
      <c r="D152" s="6">
        <v>45544</v>
      </c>
      <c r="E152" s="5">
        <v>243142.39999999999</v>
      </c>
      <c r="F152" s="5" t="s">
        <v>1493</v>
      </c>
      <c r="G152" s="6">
        <v>45583</v>
      </c>
    </row>
    <row r="153" spans="1:7" x14ac:dyDescent="0.3">
      <c r="A153" s="5" t="s">
        <v>1646</v>
      </c>
      <c r="B153" s="5" t="s">
        <v>382</v>
      </c>
      <c r="C153" s="5" t="s">
        <v>151</v>
      </c>
      <c r="D153" s="6">
        <v>45521</v>
      </c>
      <c r="E153" s="5">
        <v>9259.76</v>
      </c>
      <c r="F153" s="5" t="s">
        <v>1493</v>
      </c>
      <c r="G153" s="6">
        <v>45556</v>
      </c>
    </row>
    <row r="154" spans="1:7" x14ac:dyDescent="0.3">
      <c r="A154" s="5" t="s">
        <v>1647</v>
      </c>
      <c r="B154" s="5" t="s">
        <v>382</v>
      </c>
      <c r="C154" s="5" t="s">
        <v>151</v>
      </c>
      <c r="D154" s="6">
        <v>45604</v>
      </c>
      <c r="E154" s="5">
        <v>72107.09</v>
      </c>
      <c r="F154" s="5" t="s">
        <v>1493</v>
      </c>
      <c r="G154" s="6">
        <v>45633</v>
      </c>
    </row>
    <row r="155" spans="1:7" x14ac:dyDescent="0.3">
      <c r="A155" s="5" t="s">
        <v>1648</v>
      </c>
      <c r="B155" s="5" t="s">
        <v>384</v>
      </c>
      <c r="C155" s="5" t="s">
        <v>173</v>
      </c>
      <c r="D155" s="6">
        <v>45810</v>
      </c>
      <c r="E155" s="5">
        <v>56293.7</v>
      </c>
      <c r="F155" s="5" t="s">
        <v>1493</v>
      </c>
      <c r="G155" s="6">
        <v>45835</v>
      </c>
    </row>
    <row r="156" spans="1:7" x14ac:dyDescent="0.3">
      <c r="A156" s="5" t="s">
        <v>1649</v>
      </c>
      <c r="B156" s="5" t="s">
        <v>384</v>
      </c>
      <c r="C156" s="5" t="s">
        <v>173</v>
      </c>
      <c r="D156" s="6">
        <v>45897</v>
      </c>
      <c r="E156" s="5">
        <v>38993.33</v>
      </c>
      <c r="F156" s="5" t="s">
        <v>1493</v>
      </c>
      <c r="G156" s="6">
        <v>45909</v>
      </c>
    </row>
    <row r="157" spans="1:7" x14ac:dyDescent="0.3">
      <c r="A157" s="5" t="s">
        <v>1650</v>
      </c>
      <c r="B157" s="5" t="s">
        <v>386</v>
      </c>
      <c r="C157" s="5" t="s">
        <v>77</v>
      </c>
      <c r="D157" s="6">
        <v>45465</v>
      </c>
      <c r="E157" s="5">
        <v>189907.71</v>
      </c>
      <c r="F157" s="5" t="s">
        <v>1493</v>
      </c>
      <c r="G157" s="6">
        <v>45523</v>
      </c>
    </row>
    <row r="158" spans="1:7" x14ac:dyDescent="0.3">
      <c r="A158" s="5" t="s">
        <v>1651</v>
      </c>
      <c r="B158" s="5" t="s">
        <v>386</v>
      </c>
      <c r="C158" s="5" t="s">
        <v>77</v>
      </c>
      <c r="D158" s="6">
        <v>45499</v>
      </c>
      <c r="E158" s="5">
        <v>13659.22</v>
      </c>
      <c r="F158" s="5" t="s">
        <v>1495</v>
      </c>
      <c r="G158" s="5"/>
    </row>
    <row r="159" spans="1:7" x14ac:dyDescent="0.3">
      <c r="A159" s="5" t="s">
        <v>1652</v>
      </c>
      <c r="B159" s="5" t="s">
        <v>386</v>
      </c>
      <c r="C159" s="5" t="s">
        <v>77</v>
      </c>
      <c r="D159" s="6">
        <v>45533</v>
      </c>
      <c r="E159" s="5">
        <v>16421.830000000002</v>
      </c>
      <c r="F159" s="5" t="s">
        <v>1493</v>
      </c>
      <c r="G159" s="6">
        <v>45579</v>
      </c>
    </row>
    <row r="160" spans="1:7" x14ac:dyDescent="0.3">
      <c r="A160" s="5" t="s">
        <v>1653</v>
      </c>
      <c r="B160" s="5" t="s">
        <v>388</v>
      </c>
      <c r="C160" s="5" t="s">
        <v>159</v>
      </c>
      <c r="D160" s="6">
        <v>45944</v>
      </c>
      <c r="E160" s="5">
        <v>9382</v>
      </c>
      <c r="F160" s="5" t="s">
        <v>1495</v>
      </c>
      <c r="G160" s="5"/>
    </row>
    <row r="161" spans="1:7" x14ac:dyDescent="0.3">
      <c r="A161" s="5" t="s">
        <v>1654</v>
      </c>
      <c r="B161" s="5" t="s">
        <v>388</v>
      </c>
      <c r="C161" s="5" t="s">
        <v>159</v>
      </c>
      <c r="D161" s="6">
        <v>45955</v>
      </c>
      <c r="E161" s="5">
        <v>6839.99</v>
      </c>
      <c r="F161" s="5" t="s">
        <v>1493</v>
      </c>
      <c r="G161" s="6">
        <v>46004</v>
      </c>
    </row>
    <row r="162" spans="1:7" x14ac:dyDescent="0.3">
      <c r="A162" s="5" t="s">
        <v>1655</v>
      </c>
      <c r="B162" s="5" t="s">
        <v>388</v>
      </c>
      <c r="C162" s="5" t="s">
        <v>159</v>
      </c>
      <c r="D162" s="6">
        <v>45967</v>
      </c>
      <c r="E162" s="5">
        <v>11888.9</v>
      </c>
      <c r="F162" s="5" t="s">
        <v>1493</v>
      </c>
      <c r="G162" s="6">
        <v>46020</v>
      </c>
    </row>
    <row r="163" spans="1:7" x14ac:dyDescent="0.3">
      <c r="A163" s="5" t="s">
        <v>1656</v>
      </c>
      <c r="B163" s="5" t="s">
        <v>388</v>
      </c>
      <c r="C163" s="5" t="s">
        <v>159</v>
      </c>
      <c r="D163" s="6">
        <v>45978</v>
      </c>
      <c r="E163" s="5">
        <v>34893.75</v>
      </c>
      <c r="F163" s="5" t="s">
        <v>1493</v>
      </c>
      <c r="G163" s="6">
        <v>46012</v>
      </c>
    </row>
    <row r="164" spans="1:7" x14ac:dyDescent="0.3">
      <c r="A164" s="5" t="s">
        <v>1657</v>
      </c>
      <c r="B164" s="5" t="s">
        <v>390</v>
      </c>
      <c r="C164" s="5" t="s">
        <v>173</v>
      </c>
      <c r="D164" s="6">
        <v>45459</v>
      </c>
      <c r="E164" s="5">
        <v>28411.65</v>
      </c>
      <c r="F164" s="5" t="s">
        <v>1495</v>
      </c>
      <c r="G164" s="5"/>
    </row>
    <row r="165" spans="1:7" x14ac:dyDescent="0.3">
      <c r="A165" s="5" t="s">
        <v>1658</v>
      </c>
      <c r="B165" s="5" t="s">
        <v>390</v>
      </c>
      <c r="C165" s="5" t="s">
        <v>173</v>
      </c>
      <c r="D165" s="6">
        <v>45515</v>
      </c>
      <c r="E165" s="5">
        <v>41281.339999999997</v>
      </c>
      <c r="F165" s="5" t="s">
        <v>1530</v>
      </c>
      <c r="G165" s="5"/>
    </row>
    <row r="166" spans="1:7" x14ac:dyDescent="0.3">
      <c r="A166" s="5" t="s">
        <v>1659</v>
      </c>
      <c r="B166" s="5" t="s">
        <v>392</v>
      </c>
      <c r="C166" s="5" t="s">
        <v>173</v>
      </c>
      <c r="D166" s="6">
        <v>45461</v>
      </c>
      <c r="E166" s="5">
        <v>117408.6</v>
      </c>
      <c r="F166" s="5" t="s">
        <v>1495</v>
      </c>
      <c r="G166" s="5"/>
    </row>
    <row r="167" spans="1:7" x14ac:dyDescent="0.3">
      <c r="A167" s="5" t="s">
        <v>1660</v>
      </c>
      <c r="B167" s="5" t="s">
        <v>394</v>
      </c>
      <c r="C167" s="5" t="s">
        <v>106</v>
      </c>
      <c r="D167" s="6">
        <v>45684</v>
      </c>
      <c r="E167" s="5">
        <v>114174.65</v>
      </c>
      <c r="F167" s="5" t="s">
        <v>1495</v>
      </c>
      <c r="G167" s="5"/>
    </row>
    <row r="168" spans="1:7" x14ac:dyDescent="0.3">
      <c r="A168" s="5" t="s">
        <v>1661</v>
      </c>
      <c r="B168" s="5" t="s">
        <v>394</v>
      </c>
      <c r="C168" s="5" t="s">
        <v>106</v>
      </c>
      <c r="D168" s="6">
        <v>45715</v>
      </c>
      <c r="E168" s="5">
        <v>9471.9500000000007</v>
      </c>
      <c r="F168" s="5" t="s">
        <v>1493</v>
      </c>
      <c r="G168" s="6">
        <v>45747</v>
      </c>
    </row>
    <row r="169" spans="1:7" x14ac:dyDescent="0.3">
      <c r="A169" s="5" t="s">
        <v>1662</v>
      </c>
      <c r="B169" s="5" t="s">
        <v>396</v>
      </c>
      <c r="C169" s="5" t="s">
        <v>55</v>
      </c>
      <c r="D169" s="6">
        <v>46086</v>
      </c>
      <c r="E169" s="5">
        <v>94440.91</v>
      </c>
      <c r="F169" s="5" t="s">
        <v>1493</v>
      </c>
      <c r="G169" s="6">
        <v>46139</v>
      </c>
    </row>
    <row r="170" spans="1:7" x14ac:dyDescent="0.3">
      <c r="A170" s="5" t="s">
        <v>1663</v>
      </c>
      <c r="B170" s="5" t="s">
        <v>398</v>
      </c>
      <c r="C170" s="5" t="s">
        <v>6</v>
      </c>
      <c r="D170" s="6">
        <v>45925</v>
      </c>
      <c r="E170" s="5">
        <v>76038.100000000006</v>
      </c>
      <c r="F170" s="5" t="s">
        <v>1493</v>
      </c>
      <c r="G170" s="6">
        <v>45935</v>
      </c>
    </row>
    <row r="171" spans="1:7" x14ac:dyDescent="0.3">
      <c r="A171" s="5" t="s">
        <v>1664</v>
      </c>
      <c r="B171" s="5" t="s">
        <v>400</v>
      </c>
      <c r="C171" s="5" t="s">
        <v>149</v>
      </c>
      <c r="D171" s="6">
        <v>45485</v>
      </c>
      <c r="E171" s="5">
        <v>27781.06</v>
      </c>
      <c r="F171" s="5" t="s">
        <v>1493</v>
      </c>
      <c r="G171" s="6">
        <v>45527</v>
      </c>
    </row>
    <row r="172" spans="1:7" x14ac:dyDescent="0.3">
      <c r="A172" s="5" t="s">
        <v>1665</v>
      </c>
      <c r="B172" s="5" t="s">
        <v>400</v>
      </c>
      <c r="C172" s="5" t="s">
        <v>149</v>
      </c>
      <c r="D172" s="6">
        <v>45562</v>
      </c>
      <c r="E172" s="5">
        <v>34973.89</v>
      </c>
      <c r="F172" s="5" t="s">
        <v>1495</v>
      </c>
      <c r="G172" s="5"/>
    </row>
    <row r="173" spans="1:7" x14ac:dyDescent="0.3">
      <c r="A173" s="5" t="s">
        <v>1666</v>
      </c>
      <c r="B173" s="5" t="s">
        <v>402</v>
      </c>
      <c r="C173" s="5" t="s">
        <v>112</v>
      </c>
      <c r="D173" s="6">
        <v>45808</v>
      </c>
      <c r="E173" s="5">
        <v>125734.3</v>
      </c>
      <c r="F173" s="5" t="s">
        <v>1493</v>
      </c>
      <c r="G173" s="6">
        <v>45832</v>
      </c>
    </row>
    <row r="174" spans="1:7" x14ac:dyDescent="0.3">
      <c r="A174" s="5" t="s">
        <v>1667</v>
      </c>
      <c r="B174" s="5" t="s">
        <v>402</v>
      </c>
      <c r="C174" s="5" t="s">
        <v>112</v>
      </c>
      <c r="D174" s="6">
        <v>45844</v>
      </c>
      <c r="E174" s="5">
        <v>21020.49</v>
      </c>
      <c r="F174" s="5" t="s">
        <v>1493</v>
      </c>
      <c r="G174" s="6">
        <v>45870</v>
      </c>
    </row>
    <row r="175" spans="1:7" x14ac:dyDescent="0.3">
      <c r="A175" s="5" t="s">
        <v>1668</v>
      </c>
      <c r="B175" s="5" t="s">
        <v>404</v>
      </c>
      <c r="C175" s="5" t="s">
        <v>110</v>
      </c>
      <c r="D175" s="6">
        <v>45320</v>
      </c>
      <c r="E175" s="5">
        <v>93323.57</v>
      </c>
      <c r="F175" s="5" t="s">
        <v>1495</v>
      </c>
      <c r="G175" s="5"/>
    </row>
    <row r="176" spans="1:7" x14ac:dyDescent="0.3">
      <c r="A176" s="5" t="s">
        <v>1669</v>
      </c>
      <c r="B176" s="5" t="s">
        <v>406</v>
      </c>
      <c r="C176" s="5" t="s">
        <v>74</v>
      </c>
      <c r="D176" s="6">
        <v>45456</v>
      </c>
      <c r="E176" s="5">
        <v>38931.22</v>
      </c>
      <c r="F176" s="5" t="s">
        <v>1495</v>
      </c>
      <c r="G176" s="5"/>
    </row>
    <row r="177" spans="1:7" x14ac:dyDescent="0.3">
      <c r="A177" s="5" t="s">
        <v>1670</v>
      </c>
      <c r="B177" s="5" t="s">
        <v>406</v>
      </c>
      <c r="C177" s="5" t="s">
        <v>74</v>
      </c>
      <c r="D177" s="6">
        <v>45526</v>
      </c>
      <c r="E177" s="5">
        <v>124879.74</v>
      </c>
      <c r="F177" s="5" t="s">
        <v>1493</v>
      </c>
      <c r="G177" s="6">
        <v>45569</v>
      </c>
    </row>
    <row r="178" spans="1:7" x14ac:dyDescent="0.3">
      <c r="A178" s="5" t="s">
        <v>1671</v>
      </c>
      <c r="B178" s="5" t="s">
        <v>408</v>
      </c>
      <c r="C178" s="5" t="s">
        <v>104</v>
      </c>
      <c r="D178" s="6">
        <v>45713</v>
      </c>
      <c r="E178" s="5">
        <v>89458.8</v>
      </c>
      <c r="F178" s="5" t="s">
        <v>1493</v>
      </c>
      <c r="G178" s="6">
        <v>45739</v>
      </c>
    </row>
    <row r="179" spans="1:7" x14ac:dyDescent="0.3">
      <c r="A179" s="5" t="s">
        <v>1672</v>
      </c>
      <c r="B179" s="5" t="s">
        <v>408</v>
      </c>
      <c r="C179" s="5" t="s">
        <v>104</v>
      </c>
      <c r="D179" s="6">
        <v>45803</v>
      </c>
      <c r="E179" s="5">
        <v>65229.56</v>
      </c>
      <c r="F179" s="5" t="s">
        <v>1493</v>
      </c>
      <c r="G179" s="6">
        <v>45853</v>
      </c>
    </row>
    <row r="180" spans="1:7" x14ac:dyDescent="0.3">
      <c r="A180" s="5" t="s">
        <v>1673</v>
      </c>
      <c r="B180" s="5" t="s">
        <v>410</v>
      </c>
      <c r="C180" s="5" t="s">
        <v>96</v>
      </c>
      <c r="D180" s="6">
        <v>45630</v>
      </c>
      <c r="E180" s="5">
        <v>24840.03</v>
      </c>
      <c r="F180" s="5" t="s">
        <v>1530</v>
      </c>
      <c r="G180" s="5"/>
    </row>
    <row r="181" spans="1:7" x14ac:dyDescent="0.3">
      <c r="A181" s="5" t="s">
        <v>1674</v>
      </c>
      <c r="B181" s="5" t="s">
        <v>410</v>
      </c>
      <c r="C181" s="5" t="s">
        <v>96</v>
      </c>
      <c r="D181" s="6">
        <v>45666</v>
      </c>
      <c r="E181" s="5">
        <v>90953.44</v>
      </c>
      <c r="F181" s="5" t="s">
        <v>1493</v>
      </c>
      <c r="G181" s="6">
        <v>45719</v>
      </c>
    </row>
    <row r="182" spans="1:7" x14ac:dyDescent="0.3">
      <c r="A182" s="5" t="s">
        <v>1675</v>
      </c>
      <c r="B182" s="5" t="s">
        <v>410</v>
      </c>
      <c r="C182" s="5" t="s">
        <v>96</v>
      </c>
      <c r="D182" s="6">
        <v>45702</v>
      </c>
      <c r="E182" s="5">
        <v>31052.84</v>
      </c>
      <c r="F182" s="5" t="s">
        <v>1495</v>
      </c>
      <c r="G182" s="5"/>
    </row>
    <row r="183" spans="1:7" x14ac:dyDescent="0.3">
      <c r="A183" s="5" t="s">
        <v>1676</v>
      </c>
      <c r="B183" s="5" t="s">
        <v>412</v>
      </c>
      <c r="C183" s="5" t="s">
        <v>16</v>
      </c>
      <c r="D183" s="6">
        <v>45939</v>
      </c>
      <c r="E183" s="5">
        <v>104926.11</v>
      </c>
      <c r="F183" s="5" t="s">
        <v>1493</v>
      </c>
      <c r="G183" s="6">
        <v>45952</v>
      </c>
    </row>
    <row r="184" spans="1:7" x14ac:dyDescent="0.3">
      <c r="A184" s="5" t="s">
        <v>1677</v>
      </c>
      <c r="B184" s="5" t="s">
        <v>414</v>
      </c>
      <c r="C184" s="5" t="s">
        <v>114</v>
      </c>
      <c r="D184" s="6">
        <v>45787</v>
      </c>
      <c r="E184" s="5">
        <v>65960.850000000006</v>
      </c>
      <c r="F184" s="5" t="s">
        <v>1493</v>
      </c>
      <c r="G184" s="6">
        <v>45809</v>
      </c>
    </row>
    <row r="185" spans="1:7" x14ac:dyDescent="0.3">
      <c r="A185" s="5" t="s">
        <v>1678</v>
      </c>
      <c r="B185" s="5" t="s">
        <v>414</v>
      </c>
      <c r="C185" s="5" t="s">
        <v>114</v>
      </c>
      <c r="D185" s="6">
        <v>45860</v>
      </c>
      <c r="E185" s="5">
        <v>64050.239999999998</v>
      </c>
      <c r="F185" s="5" t="s">
        <v>1493</v>
      </c>
      <c r="G185" s="6">
        <v>45873</v>
      </c>
    </row>
    <row r="186" spans="1:7" x14ac:dyDescent="0.3">
      <c r="A186" s="5" t="s">
        <v>1679</v>
      </c>
      <c r="B186" s="5" t="s">
        <v>416</v>
      </c>
      <c r="C186" s="5" t="s">
        <v>129</v>
      </c>
      <c r="D186" s="6">
        <v>45656</v>
      </c>
      <c r="E186" s="5">
        <v>25733.52</v>
      </c>
      <c r="F186" s="5" t="s">
        <v>1493</v>
      </c>
      <c r="G186" s="6">
        <v>45672</v>
      </c>
    </row>
    <row r="187" spans="1:7" x14ac:dyDescent="0.3">
      <c r="A187" s="5" t="s">
        <v>1680</v>
      </c>
      <c r="B187" s="5" t="s">
        <v>416</v>
      </c>
      <c r="C187" s="5" t="s">
        <v>129</v>
      </c>
      <c r="D187" s="6">
        <v>45742</v>
      </c>
      <c r="E187" s="5">
        <v>85448.89</v>
      </c>
      <c r="F187" s="5" t="s">
        <v>1530</v>
      </c>
      <c r="G187" s="5"/>
    </row>
    <row r="188" spans="1:7" x14ac:dyDescent="0.3">
      <c r="A188" s="5" t="s">
        <v>1681</v>
      </c>
      <c r="B188" s="5" t="s">
        <v>418</v>
      </c>
      <c r="C188" s="5" t="s">
        <v>42</v>
      </c>
      <c r="D188" s="6">
        <v>46124</v>
      </c>
      <c r="E188" s="5">
        <v>100893.02</v>
      </c>
      <c r="F188" s="5" t="s">
        <v>1493</v>
      </c>
      <c r="G188" s="6">
        <v>46179</v>
      </c>
    </row>
    <row r="189" spans="1:7" x14ac:dyDescent="0.3">
      <c r="A189" s="5" t="s">
        <v>1682</v>
      </c>
      <c r="B189" s="5" t="s">
        <v>420</v>
      </c>
      <c r="C189" s="5" t="s">
        <v>60</v>
      </c>
      <c r="D189" s="6">
        <v>45633</v>
      </c>
      <c r="E189" s="5">
        <v>101689.01</v>
      </c>
      <c r="F189" s="5" t="s">
        <v>1495</v>
      </c>
      <c r="G189" s="5"/>
    </row>
    <row r="190" spans="1:7" x14ac:dyDescent="0.3">
      <c r="A190" s="5" t="s">
        <v>1683</v>
      </c>
      <c r="B190" s="5" t="s">
        <v>422</v>
      </c>
      <c r="C190" s="5" t="s">
        <v>114</v>
      </c>
      <c r="D190" s="6">
        <v>45791</v>
      </c>
      <c r="E190" s="5">
        <v>19310.62</v>
      </c>
      <c r="F190" s="5" t="s">
        <v>1493</v>
      </c>
      <c r="G190" s="6">
        <v>45809</v>
      </c>
    </row>
    <row r="191" spans="1:7" x14ac:dyDescent="0.3">
      <c r="A191" s="5" t="s">
        <v>1684</v>
      </c>
      <c r="B191" s="5" t="s">
        <v>422</v>
      </c>
      <c r="C191" s="5" t="s">
        <v>114</v>
      </c>
      <c r="D191" s="6">
        <v>45835</v>
      </c>
      <c r="E191" s="5">
        <v>36938.43</v>
      </c>
      <c r="F191" s="5" t="s">
        <v>1493</v>
      </c>
      <c r="G191" s="6">
        <v>45867</v>
      </c>
    </row>
    <row r="192" spans="1:7" x14ac:dyDescent="0.3">
      <c r="A192" s="5" t="s">
        <v>1685</v>
      </c>
      <c r="B192" s="5" t="s">
        <v>422</v>
      </c>
      <c r="C192" s="5" t="s">
        <v>114</v>
      </c>
      <c r="D192" s="6">
        <v>45879</v>
      </c>
      <c r="E192" s="5">
        <v>3080.21</v>
      </c>
      <c r="F192" s="5" t="s">
        <v>1493</v>
      </c>
      <c r="G192" s="6">
        <v>45921</v>
      </c>
    </row>
    <row r="193" spans="1:7" x14ac:dyDescent="0.3">
      <c r="A193" s="5" t="s">
        <v>1686</v>
      </c>
      <c r="B193" s="5" t="s">
        <v>424</v>
      </c>
      <c r="C193" s="5" t="s">
        <v>145</v>
      </c>
      <c r="D193" s="6">
        <v>45948</v>
      </c>
      <c r="E193" s="5">
        <v>17519.939999999999</v>
      </c>
      <c r="F193" s="5" t="s">
        <v>1530</v>
      </c>
      <c r="G193" s="5"/>
    </row>
    <row r="194" spans="1:7" x14ac:dyDescent="0.3">
      <c r="A194" s="5" t="s">
        <v>1687</v>
      </c>
      <c r="B194" s="5" t="s">
        <v>424</v>
      </c>
      <c r="C194" s="5" t="s">
        <v>145</v>
      </c>
      <c r="D194" s="6">
        <v>46001</v>
      </c>
      <c r="E194" s="5">
        <v>39802.9</v>
      </c>
      <c r="F194" s="5" t="s">
        <v>1493</v>
      </c>
      <c r="G194" s="6">
        <v>46043</v>
      </c>
    </row>
    <row r="195" spans="1:7" x14ac:dyDescent="0.3">
      <c r="A195" s="5" t="s">
        <v>1688</v>
      </c>
      <c r="B195" s="5" t="s">
        <v>424</v>
      </c>
      <c r="C195" s="5" t="s">
        <v>145</v>
      </c>
      <c r="D195" s="6">
        <v>46055</v>
      </c>
      <c r="E195" s="5">
        <v>16365.1</v>
      </c>
      <c r="F195" s="5" t="s">
        <v>1493</v>
      </c>
      <c r="G195" s="6">
        <v>46084</v>
      </c>
    </row>
    <row r="196" spans="1:7" x14ac:dyDescent="0.3">
      <c r="A196" s="5" t="s">
        <v>1689</v>
      </c>
      <c r="B196" s="5" t="s">
        <v>426</v>
      </c>
      <c r="C196" s="5" t="s">
        <v>125</v>
      </c>
      <c r="D196" s="6">
        <v>45802</v>
      </c>
      <c r="E196" s="5">
        <v>16276.84</v>
      </c>
      <c r="F196" s="5" t="s">
        <v>1495</v>
      </c>
      <c r="G196" s="5"/>
    </row>
    <row r="197" spans="1:7" x14ac:dyDescent="0.3">
      <c r="A197" s="5" t="s">
        <v>1690</v>
      </c>
      <c r="B197" s="5" t="s">
        <v>426</v>
      </c>
      <c r="C197" s="5" t="s">
        <v>125</v>
      </c>
      <c r="D197" s="6">
        <v>45815</v>
      </c>
      <c r="E197" s="5">
        <v>495.32</v>
      </c>
      <c r="F197" s="5" t="s">
        <v>1493</v>
      </c>
      <c r="G197" s="6">
        <v>45828</v>
      </c>
    </row>
    <row r="198" spans="1:7" x14ac:dyDescent="0.3">
      <c r="A198" s="5" t="s">
        <v>1691</v>
      </c>
      <c r="B198" s="5" t="s">
        <v>426</v>
      </c>
      <c r="C198" s="5" t="s">
        <v>125</v>
      </c>
      <c r="D198" s="6">
        <v>45829</v>
      </c>
      <c r="E198" s="5">
        <v>20380.28</v>
      </c>
      <c r="F198" s="5" t="s">
        <v>1493</v>
      </c>
      <c r="G198" s="6">
        <v>45839</v>
      </c>
    </row>
    <row r="199" spans="1:7" x14ac:dyDescent="0.3">
      <c r="A199" s="5" t="s">
        <v>1692</v>
      </c>
      <c r="B199" s="5" t="s">
        <v>426</v>
      </c>
      <c r="C199" s="5" t="s">
        <v>125</v>
      </c>
      <c r="D199" s="6">
        <v>45842</v>
      </c>
      <c r="E199" s="5">
        <v>37363.599999999999</v>
      </c>
      <c r="F199" s="5" t="s">
        <v>1530</v>
      </c>
      <c r="G199" s="5"/>
    </row>
    <row r="200" spans="1:7" x14ac:dyDescent="0.3">
      <c r="A200" s="5" t="s">
        <v>1693</v>
      </c>
      <c r="B200" s="5" t="s">
        <v>428</v>
      </c>
      <c r="C200" s="5" t="s">
        <v>149</v>
      </c>
      <c r="D200" s="6">
        <v>45618</v>
      </c>
      <c r="E200" s="5">
        <v>190411.29</v>
      </c>
      <c r="F200" s="5" t="s">
        <v>1493</v>
      </c>
      <c r="G200" s="6">
        <v>45669</v>
      </c>
    </row>
    <row r="201" spans="1:7" x14ac:dyDescent="0.3">
      <c r="A201" s="5" t="s">
        <v>1694</v>
      </c>
      <c r="B201" s="5" t="s">
        <v>430</v>
      </c>
      <c r="C201" s="5" t="s">
        <v>55</v>
      </c>
      <c r="D201" s="6">
        <v>45508</v>
      </c>
      <c r="E201" s="5">
        <v>115200.52</v>
      </c>
      <c r="F201" s="5" t="s">
        <v>1493</v>
      </c>
      <c r="G201" s="6">
        <v>45551</v>
      </c>
    </row>
    <row r="202" spans="1:7" x14ac:dyDescent="0.3">
      <c r="A202" s="5" t="s">
        <v>1695</v>
      </c>
      <c r="B202" s="5" t="s">
        <v>430</v>
      </c>
      <c r="C202" s="5" t="s">
        <v>55</v>
      </c>
      <c r="D202" s="6">
        <v>45569</v>
      </c>
      <c r="E202" s="5">
        <v>20514.2</v>
      </c>
      <c r="F202" s="5" t="s">
        <v>1493</v>
      </c>
      <c r="G202" s="6">
        <v>45605</v>
      </c>
    </row>
    <row r="203" spans="1:7" x14ac:dyDescent="0.3">
      <c r="A203" s="5" t="s">
        <v>1696</v>
      </c>
      <c r="B203" s="5" t="s">
        <v>432</v>
      </c>
      <c r="C203" s="5" t="s">
        <v>175</v>
      </c>
      <c r="D203" s="6">
        <v>45592</v>
      </c>
      <c r="E203" s="5">
        <v>152767.89000000001</v>
      </c>
      <c r="F203" s="5" t="s">
        <v>1495</v>
      </c>
      <c r="G203" s="5"/>
    </row>
    <row r="204" spans="1:7" x14ac:dyDescent="0.3">
      <c r="A204" s="5" t="s">
        <v>1697</v>
      </c>
      <c r="B204" s="5" t="s">
        <v>434</v>
      </c>
      <c r="C204" s="5" t="s">
        <v>141</v>
      </c>
      <c r="D204" s="6">
        <v>45423</v>
      </c>
      <c r="E204" s="5">
        <v>15869.9</v>
      </c>
      <c r="F204" s="5" t="s">
        <v>1493</v>
      </c>
      <c r="G204" s="6">
        <v>45453</v>
      </c>
    </row>
    <row r="205" spans="1:7" x14ac:dyDescent="0.3">
      <c r="A205" s="5" t="s">
        <v>1698</v>
      </c>
      <c r="B205" s="5" t="s">
        <v>434</v>
      </c>
      <c r="C205" s="5" t="s">
        <v>141</v>
      </c>
      <c r="D205" s="6">
        <v>45498</v>
      </c>
      <c r="E205" s="5">
        <v>67139.41</v>
      </c>
      <c r="F205" s="5" t="s">
        <v>1493</v>
      </c>
      <c r="G205" s="6">
        <v>45531</v>
      </c>
    </row>
    <row r="206" spans="1:7" x14ac:dyDescent="0.3">
      <c r="A206" s="5" t="s">
        <v>1699</v>
      </c>
      <c r="B206" s="5" t="s">
        <v>436</v>
      </c>
      <c r="C206" s="5" t="s">
        <v>137</v>
      </c>
      <c r="D206" s="6">
        <v>46095</v>
      </c>
      <c r="E206" s="5">
        <v>40289.17</v>
      </c>
      <c r="F206" s="5" t="s">
        <v>1530</v>
      </c>
      <c r="G206" s="5"/>
    </row>
    <row r="207" spans="1:7" x14ac:dyDescent="0.3">
      <c r="A207" s="5" t="s">
        <v>1700</v>
      </c>
      <c r="B207" s="5" t="s">
        <v>436</v>
      </c>
      <c r="C207" s="5" t="s">
        <v>137</v>
      </c>
      <c r="D207" s="6">
        <v>46135</v>
      </c>
      <c r="E207" s="5">
        <v>66369.91</v>
      </c>
      <c r="F207" s="5" t="s">
        <v>1495</v>
      </c>
      <c r="G207" s="5"/>
    </row>
    <row r="208" spans="1:7" x14ac:dyDescent="0.3">
      <c r="A208" s="5" t="s">
        <v>1701</v>
      </c>
      <c r="B208" s="5" t="s">
        <v>438</v>
      </c>
      <c r="C208" s="5" t="s">
        <v>121</v>
      </c>
      <c r="D208" s="6">
        <v>45361</v>
      </c>
      <c r="E208" s="5">
        <v>158847.73000000001</v>
      </c>
      <c r="F208" s="5" t="s">
        <v>1493</v>
      </c>
      <c r="G208" s="6">
        <v>45385</v>
      </c>
    </row>
    <row r="209" spans="1:7" x14ac:dyDescent="0.3">
      <c r="A209" s="5" t="s">
        <v>1702</v>
      </c>
      <c r="B209" s="5" t="s">
        <v>440</v>
      </c>
      <c r="C209" s="5" t="s">
        <v>42</v>
      </c>
      <c r="D209" s="6">
        <v>45543</v>
      </c>
      <c r="E209" s="5">
        <v>68204.570000000007</v>
      </c>
      <c r="F209" s="5" t="s">
        <v>1493</v>
      </c>
      <c r="G209" s="6">
        <v>45587</v>
      </c>
    </row>
    <row r="210" spans="1:7" x14ac:dyDescent="0.3">
      <c r="A210" s="5" t="s">
        <v>1703</v>
      </c>
      <c r="B210" s="5" t="s">
        <v>442</v>
      </c>
      <c r="C210" s="5" t="s">
        <v>151</v>
      </c>
      <c r="D210" s="6">
        <v>45706</v>
      </c>
      <c r="E210" s="5">
        <v>118092</v>
      </c>
      <c r="F210" s="5" t="s">
        <v>1493</v>
      </c>
      <c r="G210" s="6">
        <v>45740</v>
      </c>
    </row>
    <row r="211" spans="1:7" x14ac:dyDescent="0.3">
      <c r="A211" s="5" t="s">
        <v>1704</v>
      </c>
      <c r="B211" s="5" t="s">
        <v>444</v>
      </c>
      <c r="C211" s="5" t="s">
        <v>187</v>
      </c>
      <c r="D211" s="6">
        <v>46078</v>
      </c>
      <c r="E211" s="5">
        <v>97550.35</v>
      </c>
      <c r="F211" s="5" t="s">
        <v>1493</v>
      </c>
      <c r="G211" s="6">
        <v>46096</v>
      </c>
    </row>
    <row r="212" spans="1:7" x14ac:dyDescent="0.3">
      <c r="A212" s="5" t="s">
        <v>1705</v>
      </c>
      <c r="B212" s="5" t="s">
        <v>444</v>
      </c>
      <c r="C212" s="5" t="s">
        <v>187</v>
      </c>
      <c r="D212" s="6">
        <v>46138</v>
      </c>
      <c r="E212" s="5">
        <v>49650.26</v>
      </c>
      <c r="F212" s="5" t="s">
        <v>1493</v>
      </c>
      <c r="G212" s="6">
        <v>46164</v>
      </c>
    </row>
    <row r="213" spans="1:7" x14ac:dyDescent="0.3">
      <c r="A213" s="5" t="s">
        <v>1706</v>
      </c>
      <c r="B213" s="5" t="s">
        <v>446</v>
      </c>
      <c r="C213" s="5" t="s">
        <v>34</v>
      </c>
      <c r="D213" s="6">
        <v>45736</v>
      </c>
      <c r="E213" s="5">
        <v>24319.599999999999</v>
      </c>
      <c r="F213" s="5" t="s">
        <v>1493</v>
      </c>
      <c r="G213" s="6">
        <v>45766</v>
      </c>
    </row>
    <row r="214" spans="1:7" x14ac:dyDescent="0.3">
      <c r="A214" s="5" t="s">
        <v>1707</v>
      </c>
      <c r="B214" s="5" t="s">
        <v>446</v>
      </c>
      <c r="C214" s="5" t="s">
        <v>34</v>
      </c>
      <c r="D214" s="6">
        <v>45781</v>
      </c>
      <c r="E214" s="5">
        <v>41450.699999999997</v>
      </c>
      <c r="F214" s="5" t="s">
        <v>1493</v>
      </c>
      <c r="G214" s="6">
        <v>45803</v>
      </c>
    </row>
    <row r="215" spans="1:7" x14ac:dyDescent="0.3">
      <c r="A215" s="5" t="s">
        <v>1708</v>
      </c>
      <c r="B215" s="5" t="s">
        <v>448</v>
      </c>
      <c r="C215" s="5" t="s">
        <v>64</v>
      </c>
      <c r="D215" s="6">
        <v>46167</v>
      </c>
      <c r="E215" s="5">
        <v>79123.48</v>
      </c>
      <c r="F215" s="5" t="s">
        <v>1495</v>
      </c>
      <c r="G215" s="5"/>
    </row>
    <row r="216" spans="1:7" x14ac:dyDescent="0.3">
      <c r="A216" s="5" t="s">
        <v>1709</v>
      </c>
      <c r="B216" s="5" t="s">
        <v>448</v>
      </c>
      <c r="C216" s="5" t="s">
        <v>64</v>
      </c>
      <c r="D216" s="6">
        <v>46184</v>
      </c>
      <c r="E216" s="5">
        <v>8593.35</v>
      </c>
      <c r="F216" s="5" t="s">
        <v>1493</v>
      </c>
      <c r="G216" s="6">
        <v>46196</v>
      </c>
    </row>
    <row r="217" spans="1:7" x14ac:dyDescent="0.3">
      <c r="A217" s="5" t="s">
        <v>1710</v>
      </c>
      <c r="B217" s="5" t="s">
        <v>448</v>
      </c>
      <c r="C217" s="5" t="s">
        <v>64</v>
      </c>
      <c r="D217" s="6">
        <v>46201</v>
      </c>
      <c r="E217" s="5">
        <v>16044.13</v>
      </c>
      <c r="F217" s="5" t="s">
        <v>1493</v>
      </c>
      <c r="G217" s="6">
        <v>46214</v>
      </c>
    </row>
    <row r="218" spans="1:7" x14ac:dyDescent="0.3">
      <c r="A218" s="5" t="s">
        <v>1711</v>
      </c>
      <c r="B218" s="5" t="s">
        <v>450</v>
      </c>
      <c r="C218" s="5" t="s">
        <v>187</v>
      </c>
      <c r="D218" s="6">
        <v>45473</v>
      </c>
      <c r="E218" s="5">
        <v>22451.22</v>
      </c>
      <c r="F218" s="5" t="s">
        <v>1493</v>
      </c>
      <c r="G218" s="6">
        <v>45486</v>
      </c>
    </row>
    <row r="219" spans="1:7" x14ac:dyDescent="0.3">
      <c r="A219" s="5" t="s">
        <v>1712</v>
      </c>
      <c r="B219" s="5" t="s">
        <v>450</v>
      </c>
      <c r="C219" s="5" t="s">
        <v>187</v>
      </c>
      <c r="D219" s="6">
        <v>45562</v>
      </c>
      <c r="E219" s="5">
        <v>77525.539999999994</v>
      </c>
      <c r="F219" s="5" t="s">
        <v>1495</v>
      </c>
      <c r="G219" s="5"/>
    </row>
    <row r="220" spans="1:7" x14ac:dyDescent="0.3">
      <c r="A220" s="5" t="s">
        <v>1713</v>
      </c>
      <c r="B220" s="5" t="s">
        <v>452</v>
      </c>
      <c r="C220" s="5" t="s">
        <v>167</v>
      </c>
      <c r="D220" s="6">
        <v>45458</v>
      </c>
      <c r="E220" s="5">
        <v>60780.94</v>
      </c>
      <c r="F220" s="5" t="s">
        <v>1495</v>
      </c>
      <c r="G220" s="5"/>
    </row>
    <row r="221" spans="1:7" x14ac:dyDescent="0.3">
      <c r="A221" s="5" t="s">
        <v>1714</v>
      </c>
      <c r="B221" s="5" t="s">
        <v>452</v>
      </c>
      <c r="C221" s="5" t="s">
        <v>167</v>
      </c>
      <c r="D221" s="6">
        <v>45507</v>
      </c>
      <c r="E221" s="5">
        <v>48705.73</v>
      </c>
      <c r="F221" s="5" t="s">
        <v>1493</v>
      </c>
      <c r="G221" s="6">
        <v>45559</v>
      </c>
    </row>
    <row r="222" spans="1:7" x14ac:dyDescent="0.3">
      <c r="A222" s="5" t="s">
        <v>1715</v>
      </c>
      <c r="B222" s="5" t="s">
        <v>454</v>
      </c>
      <c r="C222" s="5" t="s">
        <v>171</v>
      </c>
      <c r="D222" s="6">
        <v>45382</v>
      </c>
      <c r="E222" s="5">
        <v>9764.4</v>
      </c>
      <c r="F222" s="5" t="s">
        <v>1493</v>
      </c>
      <c r="G222" s="6">
        <v>45419</v>
      </c>
    </row>
    <row r="223" spans="1:7" x14ac:dyDescent="0.3">
      <c r="A223" s="5" t="s">
        <v>1716</v>
      </c>
      <c r="B223" s="5" t="s">
        <v>454</v>
      </c>
      <c r="C223" s="5" t="s">
        <v>171</v>
      </c>
      <c r="D223" s="6">
        <v>45397</v>
      </c>
      <c r="E223" s="5">
        <v>69928.570000000007</v>
      </c>
      <c r="F223" s="5" t="s">
        <v>1493</v>
      </c>
      <c r="G223" s="6">
        <v>45413</v>
      </c>
    </row>
    <row r="224" spans="1:7" x14ac:dyDescent="0.3">
      <c r="A224" s="5" t="s">
        <v>1717</v>
      </c>
      <c r="B224" s="5" t="s">
        <v>456</v>
      </c>
      <c r="C224" s="5" t="s">
        <v>74</v>
      </c>
      <c r="D224" s="6">
        <v>46005</v>
      </c>
      <c r="E224" s="5">
        <v>78484.600000000006</v>
      </c>
      <c r="F224" s="5" t="s">
        <v>1495</v>
      </c>
      <c r="G224" s="5"/>
    </row>
    <row r="225" spans="1:7" x14ac:dyDescent="0.3">
      <c r="A225" s="5" t="s">
        <v>1718</v>
      </c>
      <c r="B225" s="5" t="s">
        <v>456</v>
      </c>
      <c r="C225" s="5" t="s">
        <v>74</v>
      </c>
      <c r="D225" s="6">
        <v>46086</v>
      </c>
      <c r="E225" s="5">
        <v>33123.339999999997</v>
      </c>
      <c r="F225" s="5" t="s">
        <v>1495</v>
      </c>
      <c r="G225" s="5"/>
    </row>
    <row r="226" spans="1:7" x14ac:dyDescent="0.3">
      <c r="A226" s="5" t="s">
        <v>1719</v>
      </c>
      <c r="B226" s="5" t="s">
        <v>458</v>
      </c>
      <c r="C226" s="5" t="s">
        <v>42</v>
      </c>
      <c r="D226" s="6">
        <v>46149</v>
      </c>
      <c r="E226" s="5">
        <v>8018.93</v>
      </c>
      <c r="F226" s="5" t="s">
        <v>1495</v>
      </c>
      <c r="G226" s="5"/>
    </row>
    <row r="227" spans="1:7" x14ac:dyDescent="0.3">
      <c r="A227" s="5" t="s">
        <v>1720</v>
      </c>
      <c r="B227" s="5" t="s">
        <v>458</v>
      </c>
      <c r="C227" s="5" t="s">
        <v>42</v>
      </c>
      <c r="D227" s="6">
        <v>46159</v>
      </c>
      <c r="E227" s="5">
        <v>61331.76</v>
      </c>
      <c r="F227" s="5" t="s">
        <v>1493</v>
      </c>
      <c r="G227" s="6">
        <v>46194</v>
      </c>
    </row>
    <row r="228" spans="1:7" x14ac:dyDescent="0.3">
      <c r="A228" s="5" t="s">
        <v>1721</v>
      </c>
      <c r="B228" s="5" t="s">
        <v>458</v>
      </c>
      <c r="C228" s="5" t="s">
        <v>42</v>
      </c>
      <c r="D228" s="6">
        <v>46169</v>
      </c>
      <c r="E228" s="5">
        <v>507.22</v>
      </c>
      <c r="F228" s="5" t="s">
        <v>1493</v>
      </c>
      <c r="G228" s="6">
        <v>46189</v>
      </c>
    </row>
    <row r="229" spans="1:7" x14ac:dyDescent="0.3">
      <c r="A229" s="5" t="s">
        <v>1722</v>
      </c>
      <c r="B229" s="5" t="s">
        <v>458</v>
      </c>
      <c r="C229" s="5" t="s">
        <v>42</v>
      </c>
      <c r="D229" s="6">
        <v>46179</v>
      </c>
      <c r="E229" s="5">
        <v>9522.83</v>
      </c>
      <c r="F229" s="5" t="s">
        <v>1493</v>
      </c>
      <c r="G229" s="6">
        <v>46212</v>
      </c>
    </row>
    <row r="230" spans="1:7" x14ac:dyDescent="0.3">
      <c r="A230" s="5" t="s">
        <v>1723</v>
      </c>
      <c r="B230" s="5" t="s">
        <v>460</v>
      </c>
      <c r="C230" s="5" t="s">
        <v>50</v>
      </c>
      <c r="D230" s="6">
        <v>45822</v>
      </c>
      <c r="E230" s="5">
        <v>34400.53</v>
      </c>
      <c r="F230" s="5" t="s">
        <v>1495</v>
      </c>
      <c r="G230" s="5"/>
    </row>
    <row r="231" spans="1:7" x14ac:dyDescent="0.3">
      <c r="A231" s="5" t="s">
        <v>1724</v>
      </c>
      <c r="B231" s="5" t="s">
        <v>460</v>
      </c>
      <c r="C231" s="5" t="s">
        <v>50</v>
      </c>
      <c r="D231" s="6">
        <v>45881</v>
      </c>
      <c r="E231" s="5">
        <v>77365.990000000005</v>
      </c>
      <c r="F231" s="5" t="s">
        <v>1493</v>
      </c>
      <c r="G231" s="6">
        <v>45933</v>
      </c>
    </row>
    <row r="232" spans="1:7" x14ac:dyDescent="0.3">
      <c r="A232" s="5" t="s">
        <v>1725</v>
      </c>
      <c r="B232" s="5" t="s">
        <v>462</v>
      </c>
      <c r="C232" s="5" t="s">
        <v>145</v>
      </c>
      <c r="D232" s="6">
        <v>45330</v>
      </c>
      <c r="E232" s="5">
        <v>210891.1</v>
      </c>
      <c r="F232" s="5" t="s">
        <v>1493</v>
      </c>
      <c r="G232" s="6">
        <v>45349</v>
      </c>
    </row>
    <row r="233" spans="1:7" x14ac:dyDescent="0.3">
      <c r="A233" s="5" t="s">
        <v>1726</v>
      </c>
      <c r="B233" s="5" t="s">
        <v>464</v>
      </c>
      <c r="C233" s="5" t="s">
        <v>77</v>
      </c>
      <c r="D233" s="6">
        <v>45417</v>
      </c>
      <c r="E233" s="5">
        <v>177731.51</v>
      </c>
      <c r="F233" s="5" t="s">
        <v>1493</v>
      </c>
      <c r="G233" s="6">
        <v>45463</v>
      </c>
    </row>
    <row r="234" spans="1:7" x14ac:dyDescent="0.3">
      <c r="A234" s="5" t="s">
        <v>1727</v>
      </c>
      <c r="B234" s="5" t="s">
        <v>466</v>
      </c>
      <c r="C234" s="5" t="s">
        <v>77</v>
      </c>
      <c r="D234" s="6">
        <v>45742</v>
      </c>
      <c r="E234" s="5">
        <v>157937.79999999999</v>
      </c>
      <c r="F234" s="5" t="s">
        <v>1493</v>
      </c>
      <c r="G234" s="6">
        <v>45764</v>
      </c>
    </row>
    <row r="235" spans="1:7" x14ac:dyDescent="0.3">
      <c r="A235" s="5" t="s">
        <v>1728</v>
      </c>
      <c r="B235" s="5" t="s">
        <v>468</v>
      </c>
      <c r="C235" s="5" t="s">
        <v>121</v>
      </c>
      <c r="D235" s="6">
        <v>45464</v>
      </c>
      <c r="E235" s="5">
        <v>89405.22</v>
      </c>
      <c r="F235" s="5" t="s">
        <v>1495</v>
      </c>
      <c r="G235" s="5"/>
    </row>
    <row r="236" spans="1:7" x14ac:dyDescent="0.3">
      <c r="A236" s="5" t="s">
        <v>1729</v>
      </c>
      <c r="B236" s="5" t="s">
        <v>470</v>
      </c>
      <c r="C236" s="5" t="s">
        <v>90</v>
      </c>
      <c r="D236" s="6">
        <v>45944</v>
      </c>
      <c r="E236" s="5">
        <v>15381.47</v>
      </c>
      <c r="F236" s="5" t="s">
        <v>1493</v>
      </c>
      <c r="G236" s="6">
        <v>45997</v>
      </c>
    </row>
    <row r="237" spans="1:7" x14ac:dyDescent="0.3">
      <c r="A237" s="5" t="s">
        <v>1730</v>
      </c>
      <c r="B237" s="5" t="s">
        <v>470</v>
      </c>
      <c r="C237" s="5" t="s">
        <v>90</v>
      </c>
      <c r="D237" s="6">
        <v>45978</v>
      </c>
      <c r="E237" s="5">
        <v>14218.56</v>
      </c>
      <c r="F237" s="5" t="s">
        <v>1495</v>
      </c>
      <c r="G237" s="5"/>
    </row>
    <row r="238" spans="1:7" x14ac:dyDescent="0.3">
      <c r="A238" s="5" t="s">
        <v>1731</v>
      </c>
      <c r="B238" s="5" t="s">
        <v>470</v>
      </c>
      <c r="C238" s="5" t="s">
        <v>90</v>
      </c>
      <c r="D238" s="6">
        <v>46012</v>
      </c>
      <c r="E238" s="5">
        <v>170516.42</v>
      </c>
      <c r="F238" s="5" t="s">
        <v>1493</v>
      </c>
      <c r="G238" s="6">
        <v>46063</v>
      </c>
    </row>
    <row r="239" spans="1:7" x14ac:dyDescent="0.3">
      <c r="A239" s="5" t="s">
        <v>1732</v>
      </c>
      <c r="B239" s="5" t="s">
        <v>472</v>
      </c>
      <c r="C239" s="5" t="s">
        <v>38</v>
      </c>
      <c r="D239" s="6">
        <v>46045</v>
      </c>
      <c r="E239" s="5">
        <v>22724.25</v>
      </c>
      <c r="F239" s="5" t="s">
        <v>1493</v>
      </c>
      <c r="G239" s="6">
        <v>46093</v>
      </c>
    </row>
    <row r="240" spans="1:7" x14ac:dyDescent="0.3">
      <c r="A240" s="5" t="s">
        <v>1733</v>
      </c>
      <c r="B240" s="5" t="s">
        <v>472</v>
      </c>
      <c r="C240" s="5" t="s">
        <v>38</v>
      </c>
      <c r="D240" s="6">
        <v>46058</v>
      </c>
      <c r="E240" s="5">
        <v>31478.93</v>
      </c>
      <c r="F240" s="5" t="s">
        <v>1493</v>
      </c>
      <c r="G240" s="6">
        <v>46086</v>
      </c>
    </row>
    <row r="241" spans="1:7" x14ac:dyDescent="0.3">
      <c r="A241" s="5" t="s">
        <v>1734</v>
      </c>
      <c r="B241" s="5" t="s">
        <v>472</v>
      </c>
      <c r="C241" s="5" t="s">
        <v>38</v>
      </c>
      <c r="D241" s="6">
        <v>46072</v>
      </c>
      <c r="E241" s="5">
        <v>66596.88</v>
      </c>
      <c r="F241" s="5" t="s">
        <v>1495</v>
      </c>
      <c r="G241" s="5"/>
    </row>
    <row r="242" spans="1:7" x14ac:dyDescent="0.3">
      <c r="A242" s="5" t="s">
        <v>1735</v>
      </c>
      <c r="B242" s="5" t="s">
        <v>472</v>
      </c>
      <c r="C242" s="5" t="s">
        <v>38</v>
      </c>
      <c r="D242" s="6">
        <v>46086</v>
      </c>
      <c r="E242" s="5">
        <v>48045.9</v>
      </c>
      <c r="F242" s="5" t="s">
        <v>1493</v>
      </c>
      <c r="G242" s="6">
        <v>46146</v>
      </c>
    </row>
    <row r="243" spans="1:7" x14ac:dyDescent="0.3">
      <c r="A243" s="5" t="s">
        <v>1736</v>
      </c>
      <c r="B243" s="5" t="s">
        <v>474</v>
      </c>
      <c r="C243" s="5" t="s">
        <v>53</v>
      </c>
      <c r="D243" s="6">
        <v>45511</v>
      </c>
      <c r="E243" s="5">
        <v>69976.12</v>
      </c>
      <c r="F243" s="5" t="s">
        <v>1493</v>
      </c>
      <c r="G243" s="6">
        <v>45539</v>
      </c>
    </row>
    <row r="244" spans="1:7" x14ac:dyDescent="0.3">
      <c r="A244" s="5" t="s">
        <v>1737</v>
      </c>
      <c r="B244" s="5" t="s">
        <v>476</v>
      </c>
      <c r="C244" s="5" t="s">
        <v>169</v>
      </c>
      <c r="D244" s="6">
        <v>45929</v>
      </c>
      <c r="E244" s="5">
        <v>36896.42</v>
      </c>
      <c r="F244" s="5" t="s">
        <v>1493</v>
      </c>
      <c r="G244" s="6">
        <v>45950</v>
      </c>
    </row>
    <row r="245" spans="1:7" x14ac:dyDescent="0.3">
      <c r="A245" s="5" t="s">
        <v>1738</v>
      </c>
      <c r="B245" s="5" t="s">
        <v>476</v>
      </c>
      <c r="C245" s="5" t="s">
        <v>169</v>
      </c>
      <c r="D245" s="6">
        <v>45979</v>
      </c>
      <c r="E245" s="5">
        <v>86875.11</v>
      </c>
      <c r="F245" s="5" t="s">
        <v>1493</v>
      </c>
      <c r="G245" s="6">
        <v>46010</v>
      </c>
    </row>
    <row r="246" spans="1:7" x14ac:dyDescent="0.3">
      <c r="A246" s="5" t="s">
        <v>1739</v>
      </c>
      <c r="B246" s="5" t="s">
        <v>476</v>
      </c>
      <c r="C246" s="5" t="s">
        <v>169</v>
      </c>
      <c r="D246" s="6">
        <v>46029</v>
      </c>
      <c r="E246" s="5">
        <v>33736.449999999997</v>
      </c>
      <c r="F246" s="5" t="s">
        <v>1493</v>
      </c>
      <c r="G246" s="6">
        <v>46085</v>
      </c>
    </row>
    <row r="247" spans="1:7" x14ac:dyDescent="0.3">
      <c r="A247" s="5" t="s">
        <v>1740</v>
      </c>
      <c r="B247" s="5" t="s">
        <v>478</v>
      </c>
      <c r="C247" s="5" t="s">
        <v>55</v>
      </c>
      <c r="D247" s="6">
        <v>45349</v>
      </c>
      <c r="E247" s="5">
        <v>79233.75</v>
      </c>
      <c r="F247" s="5" t="s">
        <v>1493</v>
      </c>
      <c r="G247" s="6">
        <v>45395</v>
      </c>
    </row>
    <row r="248" spans="1:7" x14ac:dyDescent="0.3">
      <c r="A248" s="5" t="s">
        <v>1741</v>
      </c>
      <c r="B248" s="5" t="s">
        <v>480</v>
      </c>
      <c r="C248" s="5" t="s">
        <v>70</v>
      </c>
      <c r="D248" s="6">
        <v>45951</v>
      </c>
      <c r="E248" s="5">
        <v>8690.68</v>
      </c>
      <c r="F248" s="5" t="s">
        <v>1493</v>
      </c>
      <c r="G248" s="6">
        <v>45990</v>
      </c>
    </row>
    <row r="249" spans="1:7" x14ac:dyDescent="0.3">
      <c r="A249" s="5" t="s">
        <v>1742</v>
      </c>
      <c r="B249" s="5" t="s">
        <v>480</v>
      </c>
      <c r="C249" s="5" t="s">
        <v>70</v>
      </c>
      <c r="D249" s="6">
        <v>45992</v>
      </c>
      <c r="E249" s="5">
        <v>14142.26</v>
      </c>
      <c r="F249" s="5" t="s">
        <v>1530</v>
      </c>
      <c r="G249" s="5"/>
    </row>
    <row r="250" spans="1:7" x14ac:dyDescent="0.3">
      <c r="A250" s="5" t="s">
        <v>1743</v>
      </c>
      <c r="B250" s="5" t="s">
        <v>480</v>
      </c>
      <c r="C250" s="5" t="s">
        <v>70</v>
      </c>
      <c r="D250" s="6">
        <v>46033</v>
      </c>
      <c r="E250" s="5">
        <v>87849.03</v>
      </c>
      <c r="F250" s="5" t="s">
        <v>1530</v>
      </c>
      <c r="G250" s="5"/>
    </row>
    <row r="251" spans="1:7" x14ac:dyDescent="0.3">
      <c r="A251" s="5" t="s">
        <v>1744</v>
      </c>
      <c r="B251" s="5" t="s">
        <v>482</v>
      </c>
      <c r="C251" s="5" t="s">
        <v>77</v>
      </c>
      <c r="D251" s="6">
        <v>45767</v>
      </c>
      <c r="E251" s="5">
        <v>42043.05</v>
      </c>
      <c r="F251" s="5" t="s">
        <v>1530</v>
      </c>
      <c r="G251" s="5"/>
    </row>
    <row r="252" spans="1:7" x14ac:dyDescent="0.3">
      <c r="A252" s="5" t="s">
        <v>1745</v>
      </c>
      <c r="B252" s="5" t="s">
        <v>482</v>
      </c>
      <c r="C252" s="5" t="s">
        <v>77</v>
      </c>
      <c r="D252" s="6">
        <v>45812</v>
      </c>
      <c r="E252" s="5">
        <v>27687.63</v>
      </c>
      <c r="F252" s="5" t="s">
        <v>1493</v>
      </c>
      <c r="G252" s="6">
        <v>45867</v>
      </c>
    </row>
    <row r="253" spans="1:7" x14ac:dyDescent="0.3">
      <c r="A253" s="5" t="s">
        <v>1746</v>
      </c>
      <c r="B253" s="5" t="s">
        <v>482</v>
      </c>
      <c r="C253" s="5" t="s">
        <v>77</v>
      </c>
      <c r="D253" s="6">
        <v>45857</v>
      </c>
      <c r="E253" s="5">
        <v>20088.759999999998</v>
      </c>
      <c r="F253" s="5" t="s">
        <v>1493</v>
      </c>
      <c r="G253" s="6">
        <v>45878</v>
      </c>
    </row>
    <row r="254" spans="1:7" x14ac:dyDescent="0.3">
      <c r="A254" s="5" t="s">
        <v>1747</v>
      </c>
      <c r="B254" s="5" t="s">
        <v>484</v>
      </c>
      <c r="C254" s="5" t="s">
        <v>30</v>
      </c>
      <c r="D254" s="6">
        <v>45747</v>
      </c>
      <c r="E254" s="5">
        <v>182818.39</v>
      </c>
      <c r="F254" s="5" t="s">
        <v>1530</v>
      </c>
      <c r="G254" s="5"/>
    </row>
    <row r="255" spans="1:7" x14ac:dyDescent="0.3">
      <c r="A255" s="5" t="s">
        <v>1748</v>
      </c>
      <c r="B255" s="5" t="s">
        <v>486</v>
      </c>
      <c r="C255" s="5" t="s">
        <v>47</v>
      </c>
      <c r="D255" s="6">
        <v>46120</v>
      </c>
      <c r="E255" s="5">
        <v>148663.39000000001</v>
      </c>
      <c r="F255" s="5" t="s">
        <v>1495</v>
      </c>
      <c r="G255" s="5"/>
    </row>
    <row r="256" spans="1:7" x14ac:dyDescent="0.3">
      <c r="A256" s="5" t="s">
        <v>1749</v>
      </c>
      <c r="B256" s="5" t="s">
        <v>486</v>
      </c>
      <c r="C256" s="5" t="s">
        <v>47</v>
      </c>
      <c r="D256" s="6">
        <v>46158</v>
      </c>
      <c r="E256" s="5">
        <v>30971.53</v>
      </c>
      <c r="F256" s="5" t="s">
        <v>1493</v>
      </c>
      <c r="G256" s="6">
        <v>46196</v>
      </c>
    </row>
    <row r="257" spans="1:7" x14ac:dyDescent="0.3">
      <c r="A257" s="5" t="s">
        <v>1750</v>
      </c>
      <c r="B257" s="5" t="s">
        <v>488</v>
      </c>
      <c r="C257" s="5" t="s">
        <v>185</v>
      </c>
      <c r="D257" s="6">
        <v>46186</v>
      </c>
      <c r="E257" s="5">
        <v>7394.14</v>
      </c>
      <c r="F257" s="5" t="s">
        <v>1493</v>
      </c>
      <c r="G257" s="6">
        <v>46216</v>
      </c>
    </row>
    <row r="258" spans="1:7" x14ac:dyDescent="0.3">
      <c r="A258" s="5" t="s">
        <v>1751</v>
      </c>
      <c r="B258" s="5" t="s">
        <v>488</v>
      </c>
      <c r="C258" s="5" t="s">
        <v>185</v>
      </c>
      <c r="D258" s="6">
        <v>46216</v>
      </c>
      <c r="E258" s="5">
        <v>106470.42</v>
      </c>
      <c r="F258" s="5" t="s">
        <v>1493</v>
      </c>
      <c r="G258" s="6">
        <v>46236</v>
      </c>
    </row>
    <row r="259" spans="1:7" x14ac:dyDescent="0.3">
      <c r="A259" s="5" t="s">
        <v>1752</v>
      </c>
      <c r="B259" s="5" t="s">
        <v>488</v>
      </c>
      <c r="C259" s="5" t="s">
        <v>185</v>
      </c>
      <c r="D259" s="6">
        <v>46246</v>
      </c>
      <c r="E259" s="5">
        <v>64008.51</v>
      </c>
      <c r="F259" s="5" t="s">
        <v>1493</v>
      </c>
      <c r="G259" s="6">
        <v>46292</v>
      </c>
    </row>
    <row r="260" spans="1:7" x14ac:dyDescent="0.3">
      <c r="A260" s="5" t="s">
        <v>1753</v>
      </c>
      <c r="B260" s="5" t="s">
        <v>490</v>
      </c>
      <c r="C260" s="5" t="s">
        <v>30</v>
      </c>
      <c r="D260" s="6">
        <v>45652</v>
      </c>
      <c r="E260" s="5">
        <v>111306.52</v>
      </c>
      <c r="F260" s="5" t="s">
        <v>1493</v>
      </c>
      <c r="G260" s="6">
        <v>45709</v>
      </c>
    </row>
    <row r="261" spans="1:7" x14ac:dyDescent="0.3">
      <c r="A261" s="5" t="s">
        <v>1754</v>
      </c>
      <c r="B261" s="5" t="s">
        <v>492</v>
      </c>
      <c r="C261" s="5" t="s">
        <v>36</v>
      </c>
      <c r="D261" s="6">
        <v>45292</v>
      </c>
      <c r="E261" s="5">
        <v>22460.89</v>
      </c>
      <c r="F261" s="5" t="s">
        <v>1495</v>
      </c>
      <c r="G261" s="5"/>
    </row>
    <row r="262" spans="1:7" x14ac:dyDescent="0.3">
      <c r="A262" s="5" t="s">
        <v>1755</v>
      </c>
      <c r="B262" s="5" t="s">
        <v>492</v>
      </c>
      <c r="C262" s="5" t="s">
        <v>36</v>
      </c>
      <c r="D262" s="6">
        <v>45319</v>
      </c>
      <c r="E262" s="5">
        <v>58264.5</v>
      </c>
      <c r="F262" s="5" t="s">
        <v>1493</v>
      </c>
      <c r="G262" s="6">
        <v>45346</v>
      </c>
    </row>
    <row r="263" spans="1:7" x14ac:dyDescent="0.3">
      <c r="A263" s="5" t="s">
        <v>1756</v>
      </c>
      <c r="B263" s="5" t="s">
        <v>494</v>
      </c>
      <c r="C263" s="5" t="s">
        <v>123</v>
      </c>
      <c r="D263" s="6">
        <v>45678</v>
      </c>
      <c r="E263" s="5">
        <v>62917.85</v>
      </c>
      <c r="F263" s="5" t="s">
        <v>1493</v>
      </c>
      <c r="G263" s="6">
        <v>45731</v>
      </c>
    </row>
    <row r="264" spans="1:7" x14ac:dyDescent="0.3">
      <c r="A264" s="5" t="s">
        <v>1757</v>
      </c>
      <c r="B264" s="5" t="s">
        <v>494</v>
      </c>
      <c r="C264" s="5" t="s">
        <v>123</v>
      </c>
      <c r="D264" s="6">
        <v>45694</v>
      </c>
      <c r="E264" s="5">
        <v>3367.7</v>
      </c>
      <c r="F264" s="5" t="s">
        <v>1493</v>
      </c>
      <c r="G264" s="6">
        <v>45730</v>
      </c>
    </row>
    <row r="265" spans="1:7" x14ac:dyDescent="0.3">
      <c r="A265" s="5" t="s">
        <v>1758</v>
      </c>
      <c r="B265" s="5" t="s">
        <v>494</v>
      </c>
      <c r="C265" s="5" t="s">
        <v>123</v>
      </c>
      <c r="D265" s="6">
        <v>45710</v>
      </c>
      <c r="E265" s="5">
        <v>4199.04</v>
      </c>
      <c r="F265" s="5" t="s">
        <v>1493</v>
      </c>
      <c r="G265" s="6">
        <v>45756</v>
      </c>
    </row>
    <row r="266" spans="1:7" x14ac:dyDescent="0.3">
      <c r="A266" s="5" t="s">
        <v>1759</v>
      </c>
      <c r="B266" s="5" t="s">
        <v>494</v>
      </c>
      <c r="C266" s="5" t="s">
        <v>123</v>
      </c>
      <c r="D266" s="6">
        <v>45726</v>
      </c>
      <c r="E266" s="5">
        <v>42713.84</v>
      </c>
      <c r="F266" s="5" t="s">
        <v>1493</v>
      </c>
      <c r="G266" s="6">
        <v>45783</v>
      </c>
    </row>
    <row r="267" spans="1:7" x14ac:dyDescent="0.3">
      <c r="A267" s="5" t="s">
        <v>1760</v>
      </c>
      <c r="B267" s="5" t="s">
        <v>496</v>
      </c>
      <c r="C267" s="5" t="s">
        <v>171</v>
      </c>
      <c r="D267" s="6">
        <v>45639</v>
      </c>
      <c r="E267" s="5">
        <v>6046.63</v>
      </c>
      <c r="F267" s="5" t="s">
        <v>1495</v>
      </c>
      <c r="G267" s="5"/>
    </row>
    <row r="268" spans="1:7" x14ac:dyDescent="0.3">
      <c r="A268" s="5" t="s">
        <v>1761</v>
      </c>
      <c r="B268" s="5" t="s">
        <v>496</v>
      </c>
      <c r="C268" s="5" t="s">
        <v>171</v>
      </c>
      <c r="D268" s="6">
        <v>45649</v>
      </c>
      <c r="E268" s="5">
        <v>4947.5600000000004</v>
      </c>
      <c r="F268" s="5" t="s">
        <v>1493</v>
      </c>
      <c r="G268" s="6">
        <v>45670</v>
      </c>
    </row>
    <row r="269" spans="1:7" x14ac:dyDescent="0.3">
      <c r="A269" s="5" t="s">
        <v>1762</v>
      </c>
      <c r="B269" s="5" t="s">
        <v>496</v>
      </c>
      <c r="C269" s="5" t="s">
        <v>171</v>
      </c>
      <c r="D269" s="6">
        <v>45659</v>
      </c>
      <c r="E269" s="5">
        <v>107794.87</v>
      </c>
      <c r="F269" s="5" t="s">
        <v>1495</v>
      </c>
      <c r="G269" s="5"/>
    </row>
    <row r="270" spans="1:7" x14ac:dyDescent="0.3">
      <c r="A270" s="5" t="s">
        <v>1763</v>
      </c>
      <c r="B270" s="5" t="s">
        <v>498</v>
      </c>
      <c r="C270" s="5" t="s">
        <v>145</v>
      </c>
      <c r="D270" s="6">
        <v>45481</v>
      </c>
      <c r="E270" s="5">
        <v>52014.27</v>
      </c>
      <c r="F270" s="5" t="s">
        <v>1493</v>
      </c>
      <c r="G270" s="6">
        <v>45513</v>
      </c>
    </row>
    <row r="271" spans="1:7" x14ac:dyDescent="0.3">
      <c r="A271" s="5" t="s">
        <v>1764</v>
      </c>
      <c r="B271" s="5" t="s">
        <v>498</v>
      </c>
      <c r="C271" s="5" t="s">
        <v>145</v>
      </c>
      <c r="D271" s="6">
        <v>45499</v>
      </c>
      <c r="E271" s="5">
        <v>17020.810000000001</v>
      </c>
      <c r="F271" s="5" t="s">
        <v>1495</v>
      </c>
      <c r="G271" s="5"/>
    </row>
    <row r="272" spans="1:7" x14ac:dyDescent="0.3">
      <c r="A272" s="5" t="s">
        <v>1765</v>
      </c>
      <c r="B272" s="5" t="s">
        <v>500</v>
      </c>
      <c r="C272" s="5" t="s">
        <v>104</v>
      </c>
      <c r="D272" s="6">
        <v>45796</v>
      </c>
      <c r="E272" s="5">
        <v>117115.47</v>
      </c>
      <c r="F272" s="5" t="s">
        <v>1530</v>
      </c>
      <c r="G272" s="5"/>
    </row>
    <row r="273" spans="1:7" x14ac:dyDescent="0.3">
      <c r="A273" s="5" t="s">
        <v>1766</v>
      </c>
      <c r="B273" s="5" t="s">
        <v>500</v>
      </c>
      <c r="C273" s="5" t="s">
        <v>104</v>
      </c>
      <c r="D273" s="6">
        <v>45867</v>
      </c>
      <c r="E273" s="5">
        <v>12642.24</v>
      </c>
      <c r="F273" s="5" t="s">
        <v>1530</v>
      </c>
      <c r="G273" s="5"/>
    </row>
    <row r="274" spans="1:7" x14ac:dyDescent="0.3">
      <c r="A274" s="5" t="s">
        <v>1767</v>
      </c>
      <c r="B274" s="5" t="s">
        <v>502</v>
      </c>
      <c r="C274" s="5" t="s">
        <v>58</v>
      </c>
      <c r="D274" s="6">
        <v>45482</v>
      </c>
      <c r="E274" s="5">
        <v>149353.07</v>
      </c>
      <c r="F274" s="5" t="s">
        <v>1493</v>
      </c>
      <c r="G274" s="6">
        <v>45525</v>
      </c>
    </row>
    <row r="275" spans="1:7" x14ac:dyDescent="0.3">
      <c r="A275" s="5" t="s">
        <v>1768</v>
      </c>
      <c r="B275" s="5" t="s">
        <v>504</v>
      </c>
      <c r="C275" s="5" t="s">
        <v>145</v>
      </c>
      <c r="D275" s="6">
        <v>45799</v>
      </c>
      <c r="E275" s="5">
        <v>22246.01</v>
      </c>
      <c r="F275" s="5" t="s">
        <v>1493</v>
      </c>
      <c r="G275" s="6">
        <v>45846</v>
      </c>
    </row>
    <row r="276" spans="1:7" x14ac:dyDescent="0.3">
      <c r="A276" s="5" t="s">
        <v>1769</v>
      </c>
      <c r="B276" s="5" t="s">
        <v>504</v>
      </c>
      <c r="C276" s="5" t="s">
        <v>145</v>
      </c>
      <c r="D276" s="6">
        <v>45818</v>
      </c>
      <c r="E276" s="5">
        <v>50727.65</v>
      </c>
      <c r="F276" s="5" t="s">
        <v>1493</v>
      </c>
      <c r="G276" s="6">
        <v>45850</v>
      </c>
    </row>
    <row r="277" spans="1:7" x14ac:dyDescent="0.3">
      <c r="A277" s="5" t="s">
        <v>1770</v>
      </c>
      <c r="B277" s="5" t="s">
        <v>504</v>
      </c>
      <c r="C277" s="5" t="s">
        <v>145</v>
      </c>
      <c r="D277" s="6">
        <v>45837</v>
      </c>
      <c r="E277" s="5">
        <v>23403.19</v>
      </c>
      <c r="F277" s="5" t="s">
        <v>1495</v>
      </c>
      <c r="G277" s="5"/>
    </row>
    <row r="278" spans="1:7" x14ac:dyDescent="0.3">
      <c r="A278" s="5" t="s">
        <v>1771</v>
      </c>
      <c r="B278" s="5" t="s">
        <v>504</v>
      </c>
      <c r="C278" s="5" t="s">
        <v>145</v>
      </c>
      <c r="D278" s="6">
        <v>45856</v>
      </c>
      <c r="E278" s="5">
        <v>9615.84</v>
      </c>
      <c r="F278" s="5" t="s">
        <v>1493</v>
      </c>
      <c r="G278" s="6">
        <v>45890</v>
      </c>
    </row>
    <row r="279" spans="1:7" x14ac:dyDescent="0.3">
      <c r="A279" s="5" t="s">
        <v>1772</v>
      </c>
      <c r="B279" s="5" t="s">
        <v>506</v>
      </c>
      <c r="C279" s="5" t="s">
        <v>55</v>
      </c>
      <c r="D279" s="6">
        <v>45660</v>
      </c>
      <c r="E279" s="5">
        <v>42382.28</v>
      </c>
      <c r="F279" s="5" t="s">
        <v>1495</v>
      </c>
      <c r="G279" s="5"/>
    </row>
    <row r="280" spans="1:7" x14ac:dyDescent="0.3">
      <c r="A280" s="5" t="s">
        <v>1773</v>
      </c>
      <c r="B280" s="5" t="s">
        <v>506</v>
      </c>
      <c r="C280" s="5" t="s">
        <v>55</v>
      </c>
      <c r="D280" s="6">
        <v>45712</v>
      </c>
      <c r="E280" s="5">
        <v>83897.07</v>
      </c>
      <c r="F280" s="5" t="s">
        <v>1530</v>
      </c>
      <c r="G280" s="5"/>
    </row>
    <row r="281" spans="1:7" x14ac:dyDescent="0.3">
      <c r="A281" s="5" t="s">
        <v>1774</v>
      </c>
      <c r="B281" s="5" t="s">
        <v>506</v>
      </c>
      <c r="C281" s="5" t="s">
        <v>55</v>
      </c>
      <c r="D281" s="6">
        <v>45764</v>
      </c>
      <c r="E281" s="5">
        <v>5801.58</v>
      </c>
      <c r="F281" s="5" t="s">
        <v>1493</v>
      </c>
      <c r="G281" s="6">
        <v>45777</v>
      </c>
    </row>
    <row r="282" spans="1:7" x14ac:dyDescent="0.3">
      <c r="A282" s="5" t="s">
        <v>1775</v>
      </c>
      <c r="B282" s="5" t="s">
        <v>508</v>
      </c>
      <c r="C282" s="5" t="s">
        <v>47</v>
      </c>
      <c r="D282" s="6">
        <v>45700</v>
      </c>
      <c r="E282" s="5">
        <v>159918.53</v>
      </c>
      <c r="F282" s="5" t="s">
        <v>1493</v>
      </c>
      <c r="G282" s="6">
        <v>45739</v>
      </c>
    </row>
    <row r="283" spans="1:7" x14ac:dyDescent="0.3">
      <c r="A283" s="5" t="s">
        <v>1776</v>
      </c>
      <c r="B283" s="5" t="s">
        <v>510</v>
      </c>
      <c r="C283" s="5" t="s">
        <v>88</v>
      </c>
      <c r="D283" s="6">
        <v>46115</v>
      </c>
      <c r="E283" s="5">
        <v>68686.789999999994</v>
      </c>
      <c r="F283" s="5" t="s">
        <v>1495</v>
      </c>
      <c r="G283" s="5"/>
    </row>
    <row r="284" spans="1:7" x14ac:dyDescent="0.3">
      <c r="A284" s="5" t="s">
        <v>1777</v>
      </c>
      <c r="B284" s="5" t="s">
        <v>510</v>
      </c>
      <c r="C284" s="5" t="s">
        <v>88</v>
      </c>
      <c r="D284" s="6">
        <v>46136</v>
      </c>
      <c r="E284" s="5">
        <v>12974</v>
      </c>
      <c r="F284" s="5" t="s">
        <v>1493</v>
      </c>
      <c r="G284" s="6">
        <v>46175</v>
      </c>
    </row>
    <row r="285" spans="1:7" x14ac:dyDescent="0.3">
      <c r="A285" s="5" t="s">
        <v>1778</v>
      </c>
      <c r="B285" s="5" t="s">
        <v>512</v>
      </c>
      <c r="C285" s="5" t="s">
        <v>72</v>
      </c>
      <c r="D285" s="6">
        <v>45408</v>
      </c>
      <c r="E285" s="5">
        <v>108960.51</v>
      </c>
      <c r="F285" s="5" t="s">
        <v>1493</v>
      </c>
      <c r="G285" s="6">
        <v>45430</v>
      </c>
    </row>
    <row r="286" spans="1:7" x14ac:dyDescent="0.3">
      <c r="A286" s="5" t="s">
        <v>1779</v>
      </c>
      <c r="B286" s="5" t="s">
        <v>512</v>
      </c>
      <c r="C286" s="5" t="s">
        <v>72</v>
      </c>
      <c r="D286" s="6">
        <v>45436</v>
      </c>
      <c r="E286" s="5">
        <v>22014.65</v>
      </c>
      <c r="F286" s="5" t="s">
        <v>1495</v>
      </c>
      <c r="G286" s="5"/>
    </row>
    <row r="287" spans="1:7" x14ac:dyDescent="0.3">
      <c r="A287" s="5" t="s">
        <v>1780</v>
      </c>
      <c r="B287" s="5" t="s">
        <v>514</v>
      </c>
      <c r="C287" s="5" t="s">
        <v>147</v>
      </c>
      <c r="D287" s="6">
        <v>45425</v>
      </c>
      <c r="E287" s="5">
        <v>20232.79</v>
      </c>
      <c r="F287" s="5" t="s">
        <v>1493</v>
      </c>
      <c r="G287" s="6">
        <v>45476</v>
      </c>
    </row>
    <row r="288" spans="1:7" x14ac:dyDescent="0.3">
      <c r="A288" s="5" t="s">
        <v>1781</v>
      </c>
      <c r="B288" s="5" t="s">
        <v>514</v>
      </c>
      <c r="C288" s="5" t="s">
        <v>147</v>
      </c>
      <c r="D288" s="6">
        <v>45478</v>
      </c>
      <c r="E288" s="5">
        <v>9865.16</v>
      </c>
      <c r="F288" s="5" t="s">
        <v>1493</v>
      </c>
      <c r="G288" s="6">
        <v>45536</v>
      </c>
    </row>
    <row r="289" spans="1:7" x14ac:dyDescent="0.3">
      <c r="A289" s="5" t="s">
        <v>1782</v>
      </c>
      <c r="B289" s="5" t="s">
        <v>516</v>
      </c>
      <c r="C289" s="5" t="s">
        <v>116</v>
      </c>
      <c r="D289" s="6">
        <v>45349</v>
      </c>
      <c r="E289" s="5">
        <v>43733.86</v>
      </c>
      <c r="F289" s="5" t="s">
        <v>1493</v>
      </c>
      <c r="G289" s="6">
        <v>45372</v>
      </c>
    </row>
    <row r="290" spans="1:7" x14ac:dyDescent="0.3">
      <c r="A290" s="5" t="s">
        <v>1783</v>
      </c>
      <c r="B290" s="5" t="s">
        <v>516</v>
      </c>
      <c r="C290" s="5" t="s">
        <v>116</v>
      </c>
      <c r="D290" s="6">
        <v>45428</v>
      </c>
      <c r="E290" s="5">
        <v>10956.9</v>
      </c>
      <c r="F290" s="5" t="s">
        <v>1493</v>
      </c>
      <c r="G290" s="6">
        <v>45484</v>
      </c>
    </row>
    <row r="291" spans="1:7" x14ac:dyDescent="0.3">
      <c r="A291" s="5" t="s">
        <v>1784</v>
      </c>
      <c r="B291" s="5" t="s">
        <v>518</v>
      </c>
      <c r="C291" s="5" t="s">
        <v>16</v>
      </c>
      <c r="D291" s="6">
        <v>45847</v>
      </c>
      <c r="E291" s="5">
        <v>178774.82</v>
      </c>
      <c r="F291" s="5" t="s">
        <v>1493</v>
      </c>
      <c r="G291" s="6">
        <v>45864</v>
      </c>
    </row>
    <row r="292" spans="1:7" x14ac:dyDescent="0.3">
      <c r="A292" s="5" t="s">
        <v>1785</v>
      </c>
      <c r="B292" s="5" t="s">
        <v>520</v>
      </c>
      <c r="C292" s="5" t="s">
        <v>100</v>
      </c>
      <c r="D292" s="6">
        <v>45976</v>
      </c>
      <c r="E292" s="5">
        <v>17612.5</v>
      </c>
      <c r="F292" s="5" t="s">
        <v>1493</v>
      </c>
      <c r="G292" s="6">
        <v>46009</v>
      </c>
    </row>
    <row r="293" spans="1:7" x14ac:dyDescent="0.3">
      <c r="A293" s="5" t="s">
        <v>1786</v>
      </c>
      <c r="B293" s="5" t="s">
        <v>520</v>
      </c>
      <c r="C293" s="5" t="s">
        <v>100</v>
      </c>
      <c r="D293" s="6">
        <v>45986</v>
      </c>
      <c r="E293" s="5">
        <v>53018.080000000002</v>
      </c>
      <c r="F293" s="5" t="s">
        <v>1530</v>
      </c>
      <c r="G293" s="5"/>
    </row>
    <row r="294" spans="1:7" x14ac:dyDescent="0.3">
      <c r="A294" s="5" t="s">
        <v>1787</v>
      </c>
      <c r="B294" s="5" t="s">
        <v>520</v>
      </c>
      <c r="C294" s="5" t="s">
        <v>100</v>
      </c>
      <c r="D294" s="6">
        <v>45997</v>
      </c>
      <c r="E294" s="5">
        <v>28244.880000000001</v>
      </c>
      <c r="F294" s="5" t="s">
        <v>1493</v>
      </c>
      <c r="G294" s="6">
        <v>46024</v>
      </c>
    </row>
    <row r="295" spans="1:7" x14ac:dyDescent="0.3">
      <c r="A295" s="5" t="s">
        <v>1788</v>
      </c>
      <c r="B295" s="5" t="s">
        <v>520</v>
      </c>
      <c r="C295" s="5" t="s">
        <v>100</v>
      </c>
      <c r="D295" s="6">
        <v>46008</v>
      </c>
      <c r="E295" s="5">
        <v>45521.01</v>
      </c>
      <c r="F295" s="5" t="s">
        <v>1495</v>
      </c>
      <c r="G295" s="5"/>
    </row>
    <row r="296" spans="1:7" x14ac:dyDescent="0.3">
      <c r="A296" s="5" t="s">
        <v>1789</v>
      </c>
      <c r="B296" s="5" t="s">
        <v>522</v>
      </c>
      <c r="C296" s="5" t="s">
        <v>112</v>
      </c>
      <c r="D296" s="6">
        <v>45963</v>
      </c>
      <c r="E296" s="5">
        <v>7632.75</v>
      </c>
      <c r="F296" s="5" t="s">
        <v>1493</v>
      </c>
      <c r="G296" s="6">
        <v>46007</v>
      </c>
    </row>
    <row r="297" spans="1:7" x14ac:dyDescent="0.3">
      <c r="A297" s="5" t="s">
        <v>1790</v>
      </c>
      <c r="B297" s="5" t="s">
        <v>522</v>
      </c>
      <c r="C297" s="5" t="s">
        <v>112</v>
      </c>
      <c r="D297" s="6">
        <v>46005</v>
      </c>
      <c r="E297" s="5">
        <v>80955.02</v>
      </c>
      <c r="F297" s="5" t="s">
        <v>1493</v>
      </c>
      <c r="G297" s="6">
        <v>46039</v>
      </c>
    </row>
    <row r="298" spans="1:7" x14ac:dyDescent="0.3">
      <c r="A298" s="5" t="s">
        <v>1791</v>
      </c>
      <c r="B298" s="5" t="s">
        <v>524</v>
      </c>
      <c r="C298" s="5" t="s">
        <v>106</v>
      </c>
      <c r="D298" s="6">
        <v>45464</v>
      </c>
      <c r="E298" s="5">
        <v>106267.58</v>
      </c>
      <c r="F298" s="5" t="s">
        <v>1530</v>
      </c>
      <c r="G298" s="5"/>
    </row>
    <row r="299" spans="1:7" x14ac:dyDescent="0.3">
      <c r="A299" s="5" t="s">
        <v>1792</v>
      </c>
      <c r="B299" s="5" t="s">
        <v>526</v>
      </c>
      <c r="C299" s="5" t="s">
        <v>137</v>
      </c>
      <c r="D299" s="6">
        <v>46120</v>
      </c>
      <c r="E299" s="5">
        <v>51661.07</v>
      </c>
      <c r="F299" s="5" t="s">
        <v>1493</v>
      </c>
      <c r="G299" s="6">
        <v>46146</v>
      </c>
    </row>
    <row r="300" spans="1:7" x14ac:dyDescent="0.3">
      <c r="A300" s="5" t="s">
        <v>1793</v>
      </c>
      <c r="B300" s="5" t="s">
        <v>526</v>
      </c>
      <c r="C300" s="5" t="s">
        <v>137</v>
      </c>
      <c r="D300" s="6">
        <v>46138</v>
      </c>
      <c r="E300" s="5">
        <v>21528.18</v>
      </c>
      <c r="F300" s="5" t="s">
        <v>1530</v>
      </c>
      <c r="G300" s="5"/>
    </row>
    <row r="301" spans="1:7" x14ac:dyDescent="0.3">
      <c r="A301" s="5" t="s">
        <v>1794</v>
      </c>
      <c r="B301" s="5" t="s">
        <v>528</v>
      </c>
      <c r="C301" s="5" t="s">
        <v>104</v>
      </c>
      <c r="D301" s="6">
        <v>46106</v>
      </c>
      <c r="E301" s="5">
        <v>84575.92</v>
      </c>
      <c r="F301" s="5" t="s">
        <v>1493</v>
      </c>
      <c r="G301" s="6">
        <v>46147</v>
      </c>
    </row>
    <row r="302" spans="1:7" x14ac:dyDescent="0.3">
      <c r="A302" s="5" t="s">
        <v>1795</v>
      </c>
      <c r="B302" s="5" t="s">
        <v>528</v>
      </c>
      <c r="C302" s="5" t="s">
        <v>104</v>
      </c>
      <c r="D302" s="6">
        <v>46116</v>
      </c>
      <c r="E302" s="5">
        <v>19284.8</v>
      </c>
      <c r="F302" s="5" t="s">
        <v>1493</v>
      </c>
      <c r="G302" s="6">
        <v>46149</v>
      </c>
    </row>
    <row r="303" spans="1:7" x14ac:dyDescent="0.3">
      <c r="A303" s="5" t="s">
        <v>1796</v>
      </c>
      <c r="B303" s="5" t="s">
        <v>528</v>
      </c>
      <c r="C303" s="5" t="s">
        <v>104</v>
      </c>
      <c r="D303" s="6">
        <v>46127</v>
      </c>
      <c r="E303" s="5">
        <v>43223.97</v>
      </c>
      <c r="F303" s="5" t="s">
        <v>1493</v>
      </c>
      <c r="G303" s="6">
        <v>46143</v>
      </c>
    </row>
    <row r="304" spans="1:7" x14ac:dyDescent="0.3">
      <c r="A304" s="5" t="s">
        <v>1797</v>
      </c>
      <c r="B304" s="5" t="s">
        <v>530</v>
      </c>
      <c r="C304" s="5" t="s">
        <v>50</v>
      </c>
      <c r="D304" s="6">
        <v>45440</v>
      </c>
      <c r="E304" s="5">
        <v>135302.26999999999</v>
      </c>
      <c r="F304" s="5" t="s">
        <v>1495</v>
      </c>
      <c r="G304" s="5"/>
    </row>
    <row r="305" spans="1:7" x14ac:dyDescent="0.3">
      <c r="A305" s="5" t="s">
        <v>1798</v>
      </c>
      <c r="B305" s="5" t="s">
        <v>530</v>
      </c>
      <c r="C305" s="5" t="s">
        <v>50</v>
      </c>
      <c r="D305" s="6">
        <v>45486</v>
      </c>
      <c r="E305" s="5">
        <v>32007.59</v>
      </c>
      <c r="F305" s="5" t="s">
        <v>1493</v>
      </c>
      <c r="G305" s="6">
        <v>45508</v>
      </c>
    </row>
    <row r="306" spans="1:7" x14ac:dyDescent="0.3">
      <c r="A306" s="5" t="s">
        <v>1799</v>
      </c>
      <c r="B306" s="5" t="s">
        <v>530</v>
      </c>
      <c r="C306" s="5" t="s">
        <v>50</v>
      </c>
      <c r="D306" s="6">
        <v>45533</v>
      </c>
      <c r="E306" s="5">
        <v>1067.71</v>
      </c>
      <c r="F306" s="5" t="s">
        <v>1493</v>
      </c>
      <c r="G306" s="6">
        <v>45569</v>
      </c>
    </row>
    <row r="307" spans="1:7" x14ac:dyDescent="0.3">
      <c r="A307" s="5" t="s">
        <v>1800</v>
      </c>
      <c r="B307" s="5" t="s">
        <v>532</v>
      </c>
      <c r="C307" s="5" t="s">
        <v>21</v>
      </c>
      <c r="D307" s="6">
        <v>45371</v>
      </c>
      <c r="E307" s="5">
        <v>90633.68</v>
      </c>
      <c r="F307" s="5" t="s">
        <v>1530</v>
      </c>
      <c r="G307" s="5"/>
    </row>
    <row r="308" spans="1:7" x14ac:dyDescent="0.3">
      <c r="A308" s="5" t="s">
        <v>1801</v>
      </c>
      <c r="B308" s="5" t="s">
        <v>534</v>
      </c>
      <c r="C308" s="5" t="s">
        <v>74</v>
      </c>
      <c r="D308" s="6">
        <v>46177</v>
      </c>
      <c r="E308" s="5">
        <v>75082.33</v>
      </c>
      <c r="F308" s="5" t="s">
        <v>1493</v>
      </c>
      <c r="G308" s="6">
        <v>46234</v>
      </c>
    </row>
    <row r="309" spans="1:7" x14ac:dyDescent="0.3">
      <c r="A309" s="5" t="s">
        <v>1802</v>
      </c>
      <c r="B309" s="5" t="s">
        <v>536</v>
      </c>
      <c r="C309" s="5" t="s">
        <v>44</v>
      </c>
      <c r="D309" s="6">
        <v>45504</v>
      </c>
      <c r="E309" s="5">
        <v>49867.82</v>
      </c>
      <c r="F309" s="5" t="s">
        <v>1493</v>
      </c>
      <c r="G309" s="6">
        <v>45518</v>
      </c>
    </row>
    <row r="310" spans="1:7" x14ac:dyDescent="0.3">
      <c r="A310" s="5" t="s">
        <v>1803</v>
      </c>
      <c r="B310" s="5" t="s">
        <v>536</v>
      </c>
      <c r="C310" s="5" t="s">
        <v>44</v>
      </c>
      <c r="D310" s="6">
        <v>45515</v>
      </c>
      <c r="E310" s="5">
        <v>6650.49</v>
      </c>
      <c r="F310" s="5" t="s">
        <v>1493</v>
      </c>
      <c r="G310" s="6">
        <v>45560</v>
      </c>
    </row>
    <row r="311" spans="1:7" x14ac:dyDescent="0.3">
      <c r="A311" s="5" t="s">
        <v>1804</v>
      </c>
      <c r="B311" s="5" t="s">
        <v>536</v>
      </c>
      <c r="C311" s="5" t="s">
        <v>44</v>
      </c>
      <c r="D311" s="6">
        <v>45527</v>
      </c>
      <c r="E311" s="5">
        <v>2074.77</v>
      </c>
      <c r="F311" s="5" t="s">
        <v>1493</v>
      </c>
      <c r="G311" s="6">
        <v>45562</v>
      </c>
    </row>
    <row r="312" spans="1:7" x14ac:dyDescent="0.3">
      <c r="A312" s="5" t="s">
        <v>1805</v>
      </c>
      <c r="B312" s="5" t="s">
        <v>536</v>
      </c>
      <c r="C312" s="5" t="s">
        <v>44</v>
      </c>
      <c r="D312" s="6">
        <v>45539</v>
      </c>
      <c r="E312" s="5">
        <v>24173.55</v>
      </c>
      <c r="F312" s="5" t="s">
        <v>1493</v>
      </c>
      <c r="G312" s="6">
        <v>45590</v>
      </c>
    </row>
    <row r="313" spans="1:7" x14ac:dyDescent="0.3">
      <c r="A313" s="5" t="s">
        <v>1806</v>
      </c>
      <c r="B313" s="5" t="s">
        <v>538</v>
      </c>
      <c r="C313" s="5" t="s">
        <v>92</v>
      </c>
      <c r="D313" s="6">
        <v>45494</v>
      </c>
      <c r="E313" s="5">
        <v>11050.37</v>
      </c>
      <c r="F313" s="5" t="s">
        <v>1493</v>
      </c>
      <c r="G313" s="6">
        <v>45548</v>
      </c>
    </row>
    <row r="314" spans="1:7" x14ac:dyDescent="0.3">
      <c r="A314" s="5" t="s">
        <v>1807</v>
      </c>
      <c r="B314" s="5" t="s">
        <v>538</v>
      </c>
      <c r="C314" s="5" t="s">
        <v>92</v>
      </c>
      <c r="D314" s="6">
        <v>45516</v>
      </c>
      <c r="E314" s="5">
        <v>90217.81</v>
      </c>
      <c r="F314" s="5" t="s">
        <v>1530</v>
      </c>
      <c r="G314" s="5"/>
    </row>
    <row r="315" spans="1:7" x14ac:dyDescent="0.3">
      <c r="A315" s="5" t="s">
        <v>1808</v>
      </c>
      <c r="B315" s="5" t="s">
        <v>538</v>
      </c>
      <c r="C315" s="5" t="s">
        <v>92</v>
      </c>
      <c r="D315" s="6">
        <v>45538</v>
      </c>
      <c r="E315" s="5">
        <v>2794.79</v>
      </c>
      <c r="F315" s="5" t="s">
        <v>1493</v>
      </c>
      <c r="G315" s="6">
        <v>45578</v>
      </c>
    </row>
    <row r="316" spans="1:7" x14ac:dyDescent="0.3">
      <c r="A316" s="5" t="s">
        <v>1809</v>
      </c>
      <c r="B316" s="5" t="s">
        <v>540</v>
      </c>
      <c r="C316" s="5" t="s">
        <v>53</v>
      </c>
      <c r="D316" s="6">
        <v>46055</v>
      </c>
      <c r="E316" s="5">
        <v>16733.259999999998</v>
      </c>
      <c r="F316" s="5" t="s">
        <v>1493</v>
      </c>
      <c r="G316" s="6">
        <v>46074</v>
      </c>
    </row>
    <row r="317" spans="1:7" x14ac:dyDescent="0.3">
      <c r="A317" s="5" t="s">
        <v>1810</v>
      </c>
      <c r="B317" s="5" t="s">
        <v>540</v>
      </c>
      <c r="C317" s="5" t="s">
        <v>53</v>
      </c>
      <c r="D317" s="6">
        <v>46103</v>
      </c>
      <c r="E317" s="5">
        <v>78087.5</v>
      </c>
      <c r="F317" s="5" t="s">
        <v>1495</v>
      </c>
      <c r="G317" s="5"/>
    </row>
    <row r="318" spans="1:7" x14ac:dyDescent="0.3">
      <c r="A318" s="5" t="s">
        <v>1811</v>
      </c>
      <c r="B318" s="5" t="s">
        <v>540</v>
      </c>
      <c r="C318" s="5" t="s">
        <v>53</v>
      </c>
      <c r="D318" s="6">
        <v>46151</v>
      </c>
      <c r="E318" s="5">
        <v>107433.81</v>
      </c>
      <c r="F318" s="5" t="s">
        <v>1493</v>
      </c>
      <c r="G318" s="6">
        <v>46206</v>
      </c>
    </row>
    <row r="319" spans="1:7" x14ac:dyDescent="0.3">
      <c r="A319" s="5" t="s">
        <v>1812</v>
      </c>
      <c r="B319" s="5" t="s">
        <v>542</v>
      </c>
      <c r="C319" s="5" t="s">
        <v>110</v>
      </c>
      <c r="D319" s="6">
        <v>45520</v>
      </c>
      <c r="E319" s="5">
        <v>45810.84</v>
      </c>
      <c r="F319" s="5" t="s">
        <v>1493</v>
      </c>
      <c r="G319" s="6">
        <v>45555</v>
      </c>
    </row>
    <row r="320" spans="1:7" x14ac:dyDescent="0.3">
      <c r="A320" s="5" t="s">
        <v>1813</v>
      </c>
      <c r="B320" s="5" t="s">
        <v>542</v>
      </c>
      <c r="C320" s="5" t="s">
        <v>110</v>
      </c>
      <c r="D320" s="6">
        <v>45542</v>
      </c>
      <c r="E320" s="5">
        <v>48292.32</v>
      </c>
      <c r="F320" s="5" t="s">
        <v>1493</v>
      </c>
      <c r="G320" s="6">
        <v>45573</v>
      </c>
    </row>
    <row r="321" spans="1:7" x14ac:dyDescent="0.3">
      <c r="A321" s="5" t="s">
        <v>1814</v>
      </c>
      <c r="B321" s="5" t="s">
        <v>544</v>
      </c>
      <c r="C321" s="5" t="s">
        <v>159</v>
      </c>
      <c r="D321" s="6">
        <v>45967</v>
      </c>
      <c r="E321" s="5">
        <v>39278.1</v>
      </c>
      <c r="F321" s="5" t="s">
        <v>1493</v>
      </c>
      <c r="G321" s="6">
        <v>45988</v>
      </c>
    </row>
    <row r="322" spans="1:7" x14ac:dyDescent="0.3">
      <c r="A322" s="5" t="s">
        <v>1815</v>
      </c>
      <c r="B322" s="5" t="s">
        <v>544</v>
      </c>
      <c r="C322" s="5" t="s">
        <v>159</v>
      </c>
      <c r="D322" s="6">
        <v>46041</v>
      </c>
      <c r="E322" s="5">
        <v>109766.08</v>
      </c>
      <c r="F322" s="5" t="s">
        <v>1530</v>
      </c>
      <c r="G322" s="5"/>
    </row>
    <row r="323" spans="1:7" x14ac:dyDescent="0.3">
      <c r="A323" s="5" t="s">
        <v>1816</v>
      </c>
      <c r="B323" s="5" t="s">
        <v>546</v>
      </c>
      <c r="C323" s="5" t="s">
        <v>137</v>
      </c>
      <c r="D323" s="6">
        <v>45518</v>
      </c>
      <c r="E323" s="5">
        <v>119351.03999999999</v>
      </c>
      <c r="F323" s="5" t="s">
        <v>1495</v>
      </c>
      <c r="G323" s="5"/>
    </row>
    <row r="324" spans="1:7" x14ac:dyDescent="0.3">
      <c r="A324" s="5" t="s">
        <v>1817</v>
      </c>
      <c r="B324" s="5" t="s">
        <v>548</v>
      </c>
      <c r="C324" s="5" t="s">
        <v>110</v>
      </c>
      <c r="D324" s="6">
        <v>45950</v>
      </c>
      <c r="E324" s="5">
        <v>106018.5</v>
      </c>
      <c r="F324" s="5" t="s">
        <v>1493</v>
      </c>
      <c r="G324" s="6">
        <v>45991</v>
      </c>
    </row>
    <row r="325" spans="1:7" x14ac:dyDescent="0.3">
      <c r="A325" s="5" t="s">
        <v>1818</v>
      </c>
      <c r="B325" s="5" t="s">
        <v>548</v>
      </c>
      <c r="C325" s="5" t="s">
        <v>110</v>
      </c>
      <c r="D325" s="6">
        <v>45984</v>
      </c>
      <c r="E325" s="5">
        <v>7338.38</v>
      </c>
      <c r="F325" s="5" t="s">
        <v>1493</v>
      </c>
      <c r="G325" s="6">
        <v>46020</v>
      </c>
    </row>
    <row r="326" spans="1:7" x14ac:dyDescent="0.3">
      <c r="A326" s="5" t="s">
        <v>1819</v>
      </c>
      <c r="B326" s="5" t="s">
        <v>550</v>
      </c>
      <c r="C326" s="5" t="s">
        <v>94</v>
      </c>
      <c r="D326" s="6">
        <v>45823</v>
      </c>
      <c r="E326" s="5">
        <v>8166.5</v>
      </c>
      <c r="F326" s="5" t="s">
        <v>1493</v>
      </c>
      <c r="G326" s="6">
        <v>45865</v>
      </c>
    </row>
    <row r="327" spans="1:7" x14ac:dyDescent="0.3">
      <c r="A327" s="5" t="s">
        <v>1820</v>
      </c>
      <c r="B327" s="5" t="s">
        <v>550</v>
      </c>
      <c r="C327" s="5" t="s">
        <v>94</v>
      </c>
      <c r="D327" s="6">
        <v>45834</v>
      </c>
      <c r="E327" s="5">
        <v>47810.84</v>
      </c>
      <c r="F327" s="5" t="s">
        <v>1495</v>
      </c>
      <c r="G327" s="5"/>
    </row>
    <row r="328" spans="1:7" x14ac:dyDescent="0.3">
      <c r="A328" s="5" t="s">
        <v>1821</v>
      </c>
      <c r="B328" s="5" t="s">
        <v>550</v>
      </c>
      <c r="C328" s="5" t="s">
        <v>94</v>
      </c>
      <c r="D328" s="6">
        <v>45846</v>
      </c>
      <c r="E328" s="5">
        <v>24979.85</v>
      </c>
      <c r="F328" s="5" t="s">
        <v>1495</v>
      </c>
      <c r="G328" s="5"/>
    </row>
    <row r="329" spans="1:7" x14ac:dyDescent="0.3">
      <c r="A329" s="5" t="s">
        <v>1822</v>
      </c>
      <c r="B329" s="5" t="s">
        <v>550</v>
      </c>
      <c r="C329" s="5" t="s">
        <v>94</v>
      </c>
      <c r="D329" s="6">
        <v>45857</v>
      </c>
      <c r="E329" s="5">
        <v>9234.65</v>
      </c>
      <c r="F329" s="5" t="s">
        <v>1493</v>
      </c>
      <c r="G329" s="6">
        <v>45886</v>
      </c>
    </row>
    <row r="330" spans="1:7" x14ac:dyDescent="0.3">
      <c r="A330" s="5" t="s">
        <v>1823</v>
      </c>
      <c r="B330" s="5" t="s">
        <v>552</v>
      </c>
      <c r="C330" s="5" t="s">
        <v>86</v>
      </c>
      <c r="D330" s="6">
        <v>45732</v>
      </c>
      <c r="E330" s="5">
        <v>110416.56</v>
      </c>
      <c r="F330" s="5" t="s">
        <v>1493</v>
      </c>
      <c r="G330" s="6">
        <v>45780</v>
      </c>
    </row>
    <row r="331" spans="1:7" x14ac:dyDescent="0.3">
      <c r="A331" s="5" t="s">
        <v>1824</v>
      </c>
      <c r="B331" s="5" t="s">
        <v>552</v>
      </c>
      <c r="C331" s="5" t="s">
        <v>86</v>
      </c>
      <c r="D331" s="6">
        <v>45789</v>
      </c>
      <c r="E331" s="5">
        <v>11616.01</v>
      </c>
      <c r="F331" s="5" t="s">
        <v>1495</v>
      </c>
      <c r="G331" s="5"/>
    </row>
    <row r="332" spans="1:7" x14ac:dyDescent="0.3">
      <c r="A332" s="5" t="s">
        <v>1825</v>
      </c>
      <c r="B332" s="5" t="s">
        <v>554</v>
      </c>
      <c r="C332" s="5" t="s">
        <v>44</v>
      </c>
      <c r="D332" s="6">
        <v>45693</v>
      </c>
      <c r="E332" s="5">
        <v>58179.61</v>
      </c>
      <c r="F332" s="5" t="s">
        <v>1493</v>
      </c>
      <c r="G332" s="6">
        <v>45743</v>
      </c>
    </row>
    <row r="333" spans="1:7" x14ac:dyDescent="0.3">
      <c r="A333" s="5" t="s">
        <v>1826</v>
      </c>
      <c r="B333" s="5" t="s">
        <v>554</v>
      </c>
      <c r="C333" s="5" t="s">
        <v>44</v>
      </c>
      <c r="D333" s="6">
        <v>45770</v>
      </c>
      <c r="E333" s="5">
        <v>42669.41</v>
      </c>
      <c r="F333" s="5" t="s">
        <v>1493</v>
      </c>
      <c r="G333" s="6">
        <v>45819</v>
      </c>
    </row>
    <row r="334" spans="1:7" x14ac:dyDescent="0.3">
      <c r="A334" s="5" t="s">
        <v>1827</v>
      </c>
      <c r="B334" s="5" t="s">
        <v>556</v>
      </c>
      <c r="C334" s="5" t="s">
        <v>44</v>
      </c>
      <c r="D334" s="6">
        <v>45338</v>
      </c>
      <c r="E334" s="5">
        <v>108459.81</v>
      </c>
      <c r="F334" s="5" t="s">
        <v>1493</v>
      </c>
      <c r="G334" s="6">
        <v>45360</v>
      </c>
    </row>
    <row r="335" spans="1:7" x14ac:dyDescent="0.3">
      <c r="A335" s="5" t="s">
        <v>1828</v>
      </c>
      <c r="B335" s="5" t="s">
        <v>556</v>
      </c>
      <c r="C335" s="5" t="s">
        <v>44</v>
      </c>
      <c r="D335" s="6">
        <v>45362</v>
      </c>
      <c r="E335" s="5">
        <v>65136.79</v>
      </c>
      <c r="F335" s="5" t="s">
        <v>1493</v>
      </c>
      <c r="G335" s="6">
        <v>45385</v>
      </c>
    </row>
    <row r="336" spans="1:7" x14ac:dyDescent="0.3">
      <c r="A336" s="5" t="s">
        <v>1829</v>
      </c>
      <c r="B336" s="5" t="s">
        <v>556</v>
      </c>
      <c r="C336" s="5" t="s">
        <v>44</v>
      </c>
      <c r="D336" s="6">
        <v>45386</v>
      </c>
      <c r="E336" s="5">
        <v>1014.84</v>
      </c>
      <c r="F336" s="5" t="s">
        <v>1493</v>
      </c>
      <c r="G336" s="6">
        <v>45439</v>
      </c>
    </row>
    <row r="337" spans="1:7" x14ac:dyDescent="0.3">
      <c r="A337" s="5" t="s">
        <v>1830</v>
      </c>
      <c r="B337" s="5" t="s">
        <v>558</v>
      </c>
      <c r="C337" s="5" t="s">
        <v>58</v>
      </c>
      <c r="D337" s="6">
        <v>45524</v>
      </c>
      <c r="E337" s="5">
        <v>6744</v>
      </c>
      <c r="F337" s="5" t="s">
        <v>1493</v>
      </c>
      <c r="G337" s="6">
        <v>45573</v>
      </c>
    </row>
    <row r="338" spans="1:7" x14ac:dyDescent="0.3">
      <c r="A338" s="5" t="s">
        <v>1831</v>
      </c>
      <c r="B338" s="5" t="s">
        <v>558</v>
      </c>
      <c r="C338" s="5" t="s">
        <v>58</v>
      </c>
      <c r="D338" s="6">
        <v>45542</v>
      </c>
      <c r="E338" s="5">
        <v>104870.51</v>
      </c>
      <c r="F338" s="5" t="s">
        <v>1530</v>
      </c>
      <c r="G338" s="5"/>
    </row>
    <row r="339" spans="1:7" x14ac:dyDescent="0.3">
      <c r="A339" s="5" t="s">
        <v>1832</v>
      </c>
      <c r="B339" s="5" t="s">
        <v>558</v>
      </c>
      <c r="C339" s="5" t="s">
        <v>58</v>
      </c>
      <c r="D339" s="6">
        <v>45560</v>
      </c>
      <c r="E339" s="5">
        <v>46663.11</v>
      </c>
      <c r="F339" s="5" t="s">
        <v>1493</v>
      </c>
      <c r="G339" s="6">
        <v>45591</v>
      </c>
    </row>
    <row r="340" spans="1:7" x14ac:dyDescent="0.3">
      <c r="A340" s="5" t="s">
        <v>1833</v>
      </c>
      <c r="B340" s="5" t="s">
        <v>560</v>
      </c>
      <c r="C340" s="5" t="s">
        <v>90</v>
      </c>
      <c r="D340" s="6">
        <v>45596</v>
      </c>
      <c r="E340" s="5">
        <v>3172.74</v>
      </c>
      <c r="F340" s="5" t="s">
        <v>1493</v>
      </c>
      <c r="G340" s="6">
        <v>45623</v>
      </c>
    </row>
    <row r="341" spans="1:7" x14ac:dyDescent="0.3">
      <c r="A341" s="5" t="s">
        <v>1834</v>
      </c>
      <c r="B341" s="5" t="s">
        <v>560</v>
      </c>
      <c r="C341" s="5" t="s">
        <v>90</v>
      </c>
      <c r="D341" s="6">
        <v>45639</v>
      </c>
      <c r="E341" s="5">
        <v>11749.16</v>
      </c>
      <c r="F341" s="5" t="s">
        <v>1493</v>
      </c>
      <c r="G341" s="6">
        <v>45696</v>
      </c>
    </row>
    <row r="342" spans="1:7" x14ac:dyDescent="0.3">
      <c r="A342" s="5" t="s">
        <v>1835</v>
      </c>
      <c r="B342" s="5" t="s">
        <v>560</v>
      </c>
      <c r="C342" s="5" t="s">
        <v>90</v>
      </c>
      <c r="D342" s="6">
        <v>45683</v>
      </c>
      <c r="E342" s="5">
        <v>44881.14</v>
      </c>
      <c r="F342" s="5" t="s">
        <v>1495</v>
      </c>
      <c r="G342" s="5"/>
    </row>
    <row r="343" spans="1:7" x14ac:dyDescent="0.3">
      <c r="A343" s="5" t="s">
        <v>1836</v>
      </c>
      <c r="B343" s="5" t="s">
        <v>560</v>
      </c>
      <c r="C343" s="5" t="s">
        <v>90</v>
      </c>
      <c r="D343" s="6">
        <v>45726</v>
      </c>
      <c r="E343" s="5">
        <v>55718.27</v>
      </c>
      <c r="F343" s="5" t="s">
        <v>1495</v>
      </c>
      <c r="G343" s="5"/>
    </row>
    <row r="344" spans="1:7" x14ac:dyDescent="0.3">
      <c r="A344" s="5" t="s">
        <v>1837</v>
      </c>
      <c r="B344" s="5" t="s">
        <v>562</v>
      </c>
      <c r="C344" s="5" t="s">
        <v>104</v>
      </c>
      <c r="D344" s="6">
        <v>45817</v>
      </c>
      <c r="E344" s="5">
        <v>90784.25</v>
      </c>
      <c r="F344" s="5" t="s">
        <v>1493</v>
      </c>
      <c r="G344" s="6">
        <v>45855</v>
      </c>
    </row>
    <row r="345" spans="1:7" x14ac:dyDescent="0.3">
      <c r="A345" s="5" t="s">
        <v>1838</v>
      </c>
      <c r="B345" s="5" t="s">
        <v>564</v>
      </c>
      <c r="C345" s="5" t="s">
        <v>118</v>
      </c>
      <c r="D345" s="6">
        <v>45434</v>
      </c>
      <c r="E345" s="5">
        <v>51269.66</v>
      </c>
      <c r="F345" s="5" t="s">
        <v>1530</v>
      </c>
      <c r="G345" s="5"/>
    </row>
    <row r="346" spans="1:7" x14ac:dyDescent="0.3">
      <c r="A346" s="5" t="s">
        <v>1839</v>
      </c>
      <c r="B346" s="5" t="s">
        <v>564</v>
      </c>
      <c r="C346" s="5" t="s">
        <v>118</v>
      </c>
      <c r="D346" s="6">
        <v>45461</v>
      </c>
      <c r="E346" s="5">
        <v>66169.58</v>
      </c>
      <c r="F346" s="5" t="s">
        <v>1493</v>
      </c>
      <c r="G346" s="6">
        <v>45513</v>
      </c>
    </row>
    <row r="347" spans="1:7" x14ac:dyDescent="0.3">
      <c r="A347" s="5" t="s">
        <v>1840</v>
      </c>
      <c r="B347" s="5" t="s">
        <v>566</v>
      </c>
      <c r="C347" s="5" t="s">
        <v>83</v>
      </c>
      <c r="D347" s="6">
        <v>45706</v>
      </c>
      <c r="E347" s="5">
        <v>4912.3999999999996</v>
      </c>
      <c r="F347" s="5" t="s">
        <v>1493</v>
      </c>
      <c r="G347" s="6">
        <v>45731</v>
      </c>
    </row>
    <row r="348" spans="1:7" x14ac:dyDescent="0.3">
      <c r="A348" s="5" t="s">
        <v>1841</v>
      </c>
      <c r="B348" s="5" t="s">
        <v>566</v>
      </c>
      <c r="C348" s="5" t="s">
        <v>83</v>
      </c>
      <c r="D348" s="6">
        <v>45730</v>
      </c>
      <c r="E348" s="5">
        <v>31822.26</v>
      </c>
      <c r="F348" s="5" t="s">
        <v>1493</v>
      </c>
      <c r="G348" s="6">
        <v>45785</v>
      </c>
    </row>
    <row r="349" spans="1:7" x14ac:dyDescent="0.3">
      <c r="A349" s="5" t="s">
        <v>1842</v>
      </c>
      <c r="B349" s="5" t="s">
        <v>566</v>
      </c>
      <c r="C349" s="5" t="s">
        <v>83</v>
      </c>
      <c r="D349" s="6">
        <v>45754</v>
      </c>
      <c r="E349" s="5">
        <v>41329.08</v>
      </c>
      <c r="F349" s="5" t="s">
        <v>1495</v>
      </c>
      <c r="G349" s="5"/>
    </row>
    <row r="350" spans="1:7" x14ac:dyDescent="0.3">
      <c r="A350" s="5" t="s">
        <v>1843</v>
      </c>
      <c r="B350" s="5" t="s">
        <v>566</v>
      </c>
      <c r="C350" s="5" t="s">
        <v>83</v>
      </c>
      <c r="D350" s="6">
        <v>45778</v>
      </c>
      <c r="E350" s="5">
        <v>28087.85</v>
      </c>
      <c r="F350" s="5" t="s">
        <v>1495</v>
      </c>
      <c r="G350" s="5"/>
    </row>
    <row r="351" spans="1:7" x14ac:dyDescent="0.3">
      <c r="A351" s="5" t="s">
        <v>1844</v>
      </c>
      <c r="B351" s="5" t="s">
        <v>568</v>
      </c>
      <c r="C351" s="5" t="s">
        <v>151</v>
      </c>
      <c r="D351" s="6">
        <v>45804</v>
      </c>
      <c r="E351" s="5">
        <v>118426.38</v>
      </c>
      <c r="F351" s="5" t="s">
        <v>1493</v>
      </c>
      <c r="G351" s="6">
        <v>45848</v>
      </c>
    </row>
    <row r="352" spans="1:7" x14ac:dyDescent="0.3">
      <c r="A352" s="5" t="s">
        <v>1845</v>
      </c>
      <c r="B352" s="5" t="s">
        <v>570</v>
      </c>
      <c r="C352" s="5" t="s">
        <v>151</v>
      </c>
      <c r="D352" s="6">
        <v>45664</v>
      </c>
      <c r="E352" s="5">
        <v>90309.78</v>
      </c>
      <c r="F352" s="5" t="s">
        <v>1493</v>
      </c>
      <c r="G352" s="6">
        <v>45707</v>
      </c>
    </row>
    <row r="353" spans="1:7" x14ac:dyDescent="0.3">
      <c r="A353" s="5" t="s">
        <v>1846</v>
      </c>
      <c r="B353" s="5" t="s">
        <v>572</v>
      </c>
      <c r="C353" s="5" t="s">
        <v>141</v>
      </c>
      <c r="D353" s="6">
        <v>45857</v>
      </c>
      <c r="E353" s="5">
        <v>37972.699999999997</v>
      </c>
      <c r="F353" s="5" t="s">
        <v>1493</v>
      </c>
      <c r="G353" s="6">
        <v>45869</v>
      </c>
    </row>
    <row r="354" spans="1:7" x14ac:dyDescent="0.3">
      <c r="A354" s="5" t="s">
        <v>1847</v>
      </c>
      <c r="B354" s="5" t="s">
        <v>572</v>
      </c>
      <c r="C354" s="5" t="s">
        <v>141</v>
      </c>
      <c r="D354" s="6">
        <v>45903</v>
      </c>
      <c r="E354" s="5">
        <v>489.02</v>
      </c>
      <c r="F354" s="5" t="s">
        <v>1495</v>
      </c>
      <c r="G354" s="5"/>
    </row>
    <row r="355" spans="1:7" x14ac:dyDescent="0.3">
      <c r="A355" s="5" t="s">
        <v>1848</v>
      </c>
      <c r="B355" s="5" t="s">
        <v>572</v>
      </c>
      <c r="C355" s="5" t="s">
        <v>141</v>
      </c>
      <c r="D355" s="6">
        <v>45949</v>
      </c>
      <c r="E355" s="5">
        <v>84972.46</v>
      </c>
      <c r="F355" s="5" t="s">
        <v>1493</v>
      </c>
      <c r="G355" s="6">
        <v>45962</v>
      </c>
    </row>
    <row r="356" spans="1:7" x14ac:dyDescent="0.3">
      <c r="A356" s="5" t="s">
        <v>1849</v>
      </c>
      <c r="B356" s="5" t="s">
        <v>574</v>
      </c>
      <c r="C356" s="5" t="s">
        <v>53</v>
      </c>
      <c r="D356" s="6">
        <v>46177</v>
      </c>
      <c r="E356" s="5">
        <v>42446.98</v>
      </c>
      <c r="F356" s="5" t="s">
        <v>1495</v>
      </c>
      <c r="G356" s="5"/>
    </row>
    <row r="357" spans="1:7" x14ac:dyDescent="0.3">
      <c r="A357" s="5" t="s">
        <v>1850</v>
      </c>
      <c r="B357" s="5" t="s">
        <v>574</v>
      </c>
      <c r="C357" s="5" t="s">
        <v>53</v>
      </c>
      <c r="D357" s="6">
        <v>46264</v>
      </c>
      <c r="E357" s="5">
        <v>157467.88</v>
      </c>
      <c r="F357" s="5" t="s">
        <v>1493</v>
      </c>
      <c r="G357" s="6">
        <v>46278</v>
      </c>
    </row>
    <row r="358" spans="1:7" x14ac:dyDescent="0.3">
      <c r="A358" s="5" t="s">
        <v>1851</v>
      </c>
      <c r="B358" s="5" t="s">
        <v>576</v>
      </c>
      <c r="C358" s="5" t="s">
        <v>139</v>
      </c>
      <c r="D358" s="6">
        <v>45550</v>
      </c>
      <c r="E358" s="5">
        <v>134436.53</v>
      </c>
      <c r="F358" s="5" t="s">
        <v>1495</v>
      </c>
      <c r="G358" s="5"/>
    </row>
    <row r="359" spans="1:7" x14ac:dyDescent="0.3">
      <c r="A359" s="5" t="s">
        <v>1852</v>
      </c>
      <c r="B359" s="5" t="s">
        <v>576</v>
      </c>
      <c r="C359" s="5" t="s">
        <v>139</v>
      </c>
      <c r="D359" s="6">
        <v>45620</v>
      </c>
      <c r="E359" s="5">
        <v>61391.11</v>
      </c>
      <c r="F359" s="5" t="s">
        <v>1493</v>
      </c>
      <c r="G359" s="6">
        <v>45639</v>
      </c>
    </row>
    <row r="360" spans="1:7" x14ac:dyDescent="0.3">
      <c r="A360" s="5" t="s">
        <v>1853</v>
      </c>
      <c r="B360" s="5" t="s">
        <v>578</v>
      </c>
      <c r="C360" s="5" t="s">
        <v>38</v>
      </c>
      <c r="D360" s="6">
        <v>45947</v>
      </c>
      <c r="E360" s="5">
        <v>137072.24</v>
      </c>
      <c r="F360" s="5" t="s">
        <v>1495</v>
      </c>
      <c r="G360" s="5"/>
    </row>
    <row r="361" spans="1:7" x14ac:dyDescent="0.3">
      <c r="A361" s="5" t="s">
        <v>1854</v>
      </c>
      <c r="B361" s="5" t="s">
        <v>580</v>
      </c>
      <c r="C361" s="5" t="s">
        <v>86</v>
      </c>
      <c r="D361" s="6">
        <v>45762</v>
      </c>
      <c r="E361" s="5">
        <v>107464.6</v>
      </c>
      <c r="F361" s="5" t="s">
        <v>1493</v>
      </c>
      <c r="G361" s="6">
        <v>45800</v>
      </c>
    </row>
    <row r="362" spans="1:7" x14ac:dyDescent="0.3">
      <c r="A362" s="5" t="s">
        <v>1855</v>
      </c>
      <c r="B362" s="5" t="s">
        <v>580</v>
      </c>
      <c r="C362" s="5" t="s">
        <v>86</v>
      </c>
      <c r="D362" s="6">
        <v>45793</v>
      </c>
      <c r="E362" s="5">
        <v>52726.89</v>
      </c>
      <c r="F362" s="5" t="s">
        <v>1495</v>
      </c>
      <c r="G362" s="5"/>
    </row>
    <row r="363" spans="1:7" x14ac:dyDescent="0.3">
      <c r="A363" s="5" t="s">
        <v>1856</v>
      </c>
      <c r="B363" s="5" t="s">
        <v>582</v>
      </c>
      <c r="C363" s="5" t="s">
        <v>74</v>
      </c>
      <c r="D363" s="6">
        <v>45303</v>
      </c>
      <c r="E363" s="5">
        <v>18386.03</v>
      </c>
      <c r="F363" s="5" t="s">
        <v>1493</v>
      </c>
      <c r="G363" s="6">
        <v>45344</v>
      </c>
    </row>
    <row r="364" spans="1:7" x14ac:dyDescent="0.3">
      <c r="A364" s="5" t="s">
        <v>1857</v>
      </c>
      <c r="B364" s="5" t="s">
        <v>582</v>
      </c>
      <c r="C364" s="5" t="s">
        <v>74</v>
      </c>
      <c r="D364" s="6">
        <v>45349</v>
      </c>
      <c r="E364" s="5">
        <v>66061.13</v>
      </c>
      <c r="F364" s="5" t="s">
        <v>1495</v>
      </c>
      <c r="G364" s="5"/>
    </row>
    <row r="365" spans="1:7" x14ac:dyDescent="0.3">
      <c r="A365" s="5" t="s">
        <v>1858</v>
      </c>
      <c r="B365" s="5" t="s">
        <v>582</v>
      </c>
      <c r="C365" s="5" t="s">
        <v>74</v>
      </c>
      <c r="D365" s="6">
        <v>45396</v>
      </c>
      <c r="E365" s="5">
        <v>11766.95</v>
      </c>
      <c r="F365" s="5" t="s">
        <v>1495</v>
      </c>
      <c r="G365" s="5"/>
    </row>
    <row r="366" spans="1:7" x14ac:dyDescent="0.3">
      <c r="A366" s="5" t="s">
        <v>1859</v>
      </c>
      <c r="B366" s="5" t="s">
        <v>584</v>
      </c>
      <c r="C366" s="5" t="s">
        <v>25</v>
      </c>
      <c r="D366" s="6">
        <v>45621</v>
      </c>
      <c r="E366" s="5">
        <v>32935.699999999997</v>
      </c>
      <c r="F366" s="5" t="s">
        <v>1493</v>
      </c>
      <c r="G366" s="6">
        <v>45661</v>
      </c>
    </row>
    <row r="367" spans="1:7" x14ac:dyDescent="0.3">
      <c r="A367" s="5" t="s">
        <v>1860</v>
      </c>
      <c r="B367" s="5" t="s">
        <v>584</v>
      </c>
      <c r="C367" s="5" t="s">
        <v>25</v>
      </c>
      <c r="D367" s="6">
        <v>45639</v>
      </c>
      <c r="E367" s="5">
        <v>56926.49</v>
      </c>
      <c r="F367" s="5" t="s">
        <v>1493</v>
      </c>
      <c r="G367" s="6">
        <v>45650</v>
      </c>
    </row>
    <row r="368" spans="1:7" x14ac:dyDescent="0.3">
      <c r="A368" s="5" t="s">
        <v>1861</v>
      </c>
      <c r="B368" s="5" t="s">
        <v>586</v>
      </c>
      <c r="C368" s="5" t="s">
        <v>157</v>
      </c>
      <c r="D368" s="6">
        <v>46027</v>
      </c>
      <c r="E368" s="5">
        <v>100990.92</v>
      </c>
      <c r="F368" s="5" t="s">
        <v>1495</v>
      </c>
      <c r="G368" s="5"/>
    </row>
    <row r="369" spans="1:7" x14ac:dyDescent="0.3">
      <c r="A369" s="5" t="s">
        <v>1862</v>
      </c>
      <c r="B369" s="5" t="s">
        <v>586</v>
      </c>
      <c r="C369" s="5" t="s">
        <v>157</v>
      </c>
      <c r="D369" s="6">
        <v>46074</v>
      </c>
      <c r="E369" s="5">
        <v>55237.1</v>
      </c>
      <c r="F369" s="5" t="s">
        <v>1493</v>
      </c>
      <c r="G369" s="6">
        <v>46095</v>
      </c>
    </row>
    <row r="370" spans="1:7" x14ac:dyDescent="0.3">
      <c r="A370" s="5" t="s">
        <v>1863</v>
      </c>
      <c r="B370" s="5" t="s">
        <v>586</v>
      </c>
      <c r="C370" s="5" t="s">
        <v>157</v>
      </c>
      <c r="D370" s="6">
        <v>46121</v>
      </c>
      <c r="E370" s="5">
        <v>15986.95</v>
      </c>
      <c r="F370" s="5" t="s">
        <v>1493</v>
      </c>
      <c r="G370" s="6">
        <v>46157</v>
      </c>
    </row>
    <row r="371" spans="1:7" x14ac:dyDescent="0.3">
      <c r="A371" s="5" t="s">
        <v>1864</v>
      </c>
      <c r="B371" s="5" t="s">
        <v>588</v>
      </c>
      <c r="C371" s="5" t="s">
        <v>125</v>
      </c>
      <c r="D371" s="6">
        <v>46075</v>
      </c>
      <c r="E371" s="5">
        <v>231004.11</v>
      </c>
      <c r="F371" s="5" t="s">
        <v>1530</v>
      </c>
      <c r="G371" s="5"/>
    </row>
    <row r="372" spans="1:7" x14ac:dyDescent="0.3">
      <c r="A372" s="5" t="s">
        <v>1865</v>
      </c>
      <c r="B372" s="5" t="s">
        <v>590</v>
      </c>
      <c r="C372" s="5" t="s">
        <v>16</v>
      </c>
      <c r="D372" s="6">
        <v>45649</v>
      </c>
      <c r="E372" s="5">
        <v>163256.65</v>
      </c>
      <c r="F372" s="5" t="s">
        <v>1530</v>
      </c>
      <c r="G372" s="5"/>
    </row>
    <row r="373" spans="1:7" x14ac:dyDescent="0.3">
      <c r="A373" s="5" t="s">
        <v>1866</v>
      </c>
      <c r="B373" s="5" t="s">
        <v>592</v>
      </c>
      <c r="C373" s="5" t="s">
        <v>116</v>
      </c>
      <c r="D373" s="6">
        <v>45699</v>
      </c>
      <c r="E373" s="5">
        <v>106115.63</v>
      </c>
      <c r="F373" s="5" t="s">
        <v>1493</v>
      </c>
      <c r="G373" s="6">
        <v>45713</v>
      </c>
    </row>
    <row r="374" spans="1:7" x14ac:dyDescent="0.3">
      <c r="A374" s="5" t="s">
        <v>1867</v>
      </c>
      <c r="B374" s="5" t="s">
        <v>594</v>
      </c>
      <c r="C374" s="5" t="s">
        <v>47</v>
      </c>
      <c r="D374" s="6">
        <v>45959</v>
      </c>
      <c r="E374" s="5">
        <v>237610.5</v>
      </c>
      <c r="F374" s="5" t="s">
        <v>1493</v>
      </c>
      <c r="G374" s="6">
        <v>46005</v>
      </c>
    </row>
    <row r="375" spans="1:7" x14ac:dyDescent="0.3">
      <c r="A375" s="5" t="s">
        <v>1868</v>
      </c>
      <c r="B375" s="5" t="s">
        <v>596</v>
      </c>
      <c r="C375" s="5" t="s">
        <v>86</v>
      </c>
      <c r="D375" s="6">
        <v>45664</v>
      </c>
      <c r="E375" s="5">
        <v>88454.47</v>
      </c>
      <c r="F375" s="5" t="s">
        <v>1493</v>
      </c>
      <c r="G375" s="6">
        <v>45700</v>
      </c>
    </row>
    <row r="376" spans="1:7" x14ac:dyDescent="0.3">
      <c r="A376" s="5" t="s">
        <v>1869</v>
      </c>
      <c r="B376" s="5" t="s">
        <v>596</v>
      </c>
      <c r="C376" s="5" t="s">
        <v>86</v>
      </c>
      <c r="D376" s="6">
        <v>45691</v>
      </c>
      <c r="E376" s="5">
        <v>18618.580000000002</v>
      </c>
      <c r="F376" s="5" t="s">
        <v>1493</v>
      </c>
      <c r="G376" s="6">
        <v>45723</v>
      </c>
    </row>
    <row r="377" spans="1:7" x14ac:dyDescent="0.3">
      <c r="A377" s="5" t="s">
        <v>1870</v>
      </c>
      <c r="B377" s="5" t="s">
        <v>598</v>
      </c>
      <c r="C377" s="5" t="s">
        <v>163</v>
      </c>
      <c r="D377" s="6">
        <v>45299</v>
      </c>
      <c r="E377" s="5">
        <v>196613.48</v>
      </c>
      <c r="F377" s="5" t="s">
        <v>1493</v>
      </c>
      <c r="G377" s="6">
        <v>45341</v>
      </c>
    </row>
    <row r="378" spans="1:7" x14ac:dyDescent="0.3">
      <c r="A378" s="5" t="s">
        <v>1871</v>
      </c>
      <c r="B378" s="5" t="s">
        <v>600</v>
      </c>
      <c r="C378" s="5" t="s">
        <v>58</v>
      </c>
      <c r="D378" s="6">
        <v>45413</v>
      </c>
      <c r="E378" s="5">
        <v>32857.99</v>
      </c>
      <c r="F378" s="5" t="s">
        <v>1530</v>
      </c>
      <c r="G378" s="5"/>
    </row>
    <row r="379" spans="1:7" x14ac:dyDescent="0.3">
      <c r="A379" s="5" t="s">
        <v>1872</v>
      </c>
      <c r="B379" s="5" t="s">
        <v>600</v>
      </c>
      <c r="C379" s="5" t="s">
        <v>58</v>
      </c>
      <c r="D379" s="6">
        <v>45457</v>
      </c>
      <c r="E379" s="5">
        <v>160332.5</v>
      </c>
      <c r="F379" s="5" t="s">
        <v>1495</v>
      </c>
      <c r="G379" s="5"/>
    </row>
    <row r="380" spans="1:7" x14ac:dyDescent="0.3">
      <c r="A380" s="5" t="s">
        <v>1873</v>
      </c>
      <c r="B380" s="5" t="s">
        <v>602</v>
      </c>
      <c r="C380" s="5" t="s">
        <v>151</v>
      </c>
      <c r="D380" s="6">
        <v>45639</v>
      </c>
      <c r="E380" s="5">
        <v>19342.240000000002</v>
      </c>
      <c r="F380" s="5" t="s">
        <v>1493</v>
      </c>
      <c r="G380" s="6">
        <v>45652</v>
      </c>
    </row>
    <row r="381" spans="1:7" x14ac:dyDescent="0.3">
      <c r="A381" s="5" t="s">
        <v>1874</v>
      </c>
      <c r="B381" s="5" t="s">
        <v>602</v>
      </c>
      <c r="C381" s="5" t="s">
        <v>151</v>
      </c>
      <c r="D381" s="6">
        <v>45685</v>
      </c>
      <c r="E381" s="5">
        <v>24097.22</v>
      </c>
      <c r="F381" s="5" t="s">
        <v>1493</v>
      </c>
      <c r="G381" s="6">
        <v>45715</v>
      </c>
    </row>
    <row r="382" spans="1:7" x14ac:dyDescent="0.3">
      <c r="A382" s="5" t="s">
        <v>1875</v>
      </c>
      <c r="B382" s="5" t="s">
        <v>602</v>
      </c>
      <c r="C382" s="5" t="s">
        <v>151</v>
      </c>
      <c r="D382" s="6">
        <v>45731</v>
      </c>
      <c r="E382" s="5">
        <v>47768.53</v>
      </c>
      <c r="F382" s="5" t="s">
        <v>1493</v>
      </c>
      <c r="G382" s="6">
        <v>45764</v>
      </c>
    </row>
    <row r="383" spans="1:7" x14ac:dyDescent="0.3">
      <c r="A383" s="5" t="s">
        <v>1876</v>
      </c>
      <c r="B383" s="5" t="s">
        <v>604</v>
      </c>
      <c r="C383" s="5" t="s">
        <v>100</v>
      </c>
      <c r="D383" s="6">
        <v>45967</v>
      </c>
      <c r="E383" s="5">
        <v>49840.44</v>
      </c>
      <c r="F383" s="5" t="s">
        <v>1493</v>
      </c>
      <c r="G383" s="6">
        <v>46020</v>
      </c>
    </row>
    <row r="384" spans="1:7" x14ac:dyDescent="0.3">
      <c r="A384" s="5" t="s">
        <v>1877</v>
      </c>
      <c r="B384" s="5" t="s">
        <v>604</v>
      </c>
      <c r="C384" s="5" t="s">
        <v>100</v>
      </c>
      <c r="D384" s="6">
        <v>46004</v>
      </c>
      <c r="E384" s="5">
        <v>16532.62</v>
      </c>
      <c r="F384" s="5" t="s">
        <v>1493</v>
      </c>
      <c r="G384" s="6">
        <v>46044</v>
      </c>
    </row>
    <row r="385" spans="1:7" x14ac:dyDescent="0.3">
      <c r="A385" s="5" t="s">
        <v>1878</v>
      </c>
      <c r="B385" s="5" t="s">
        <v>604</v>
      </c>
      <c r="C385" s="5" t="s">
        <v>100</v>
      </c>
      <c r="D385" s="6">
        <v>46042</v>
      </c>
      <c r="E385" s="5">
        <v>37628.230000000003</v>
      </c>
      <c r="F385" s="5" t="s">
        <v>1493</v>
      </c>
      <c r="G385" s="6">
        <v>46095</v>
      </c>
    </row>
    <row r="386" spans="1:7" x14ac:dyDescent="0.3">
      <c r="A386" s="5" t="s">
        <v>1879</v>
      </c>
      <c r="B386" s="5" t="s">
        <v>604</v>
      </c>
      <c r="C386" s="5" t="s">
        <v>100</v>
      </c>
      <c r="D386" s="6">
        <v>46079</v>
      </c>
      <c r="E386" s="5">
        <v>9096.3700000000008</v>
      </c>
      <c r="F386" s="5" t="s">
        <v>1493</v>
      </c>
      <c r="G386" s="6">
        <v>46136</v>
      </c>
    </row>
    <row r="387" spans="1:7" x14ac:dyDescent="0.3">
      <c r="A387" s="5" t="s">
        <v>1880</v>
      </c>
      <c r="B387" s="5" t="s">
        <v>606</v>
      </c>
      <c r="C387" s="5" t="s">
        <v>74</v>
      </c>
      <c r="D387" s="6">
        <v>45381</v>
      </c>
      <c r="E387" s="5">
        <v>50351.49</v>
      </c>
      <c r="F387" s="5" t="s">
        <v>1493</v>
      </c>
      <c r="G387" s="6">
        <v>45414</v>
      </c>
    </row>
    <row r="388" spans="1:7" x14ac:dyDescent="0.3">
      <c r="A388" s="5" t="s">
        <v>1881</v>
      </c>
      <c r="B388" s="5" t="s">
        <v>606</v>
      </c>
      <c r="C388" s="5" t="s">
        <v>74</v>
      </c>
      <c r="D388" s="6">
        <v>45401</v>
      </c>
      <c r="E388" s="5">
        <v>98263.8</v>
      </c>
      <c r="F388" s="5" t="s">
        <v>1495</v>
      </c>
      <c r="G388" s="5"/>
    </row>
    <row r="389" spans="1:7" x14ac:dyDescent="0.3">
      <c r="A389" s="5" t="s">
        <v>1882</v>
      </c>
      <c r="B389" s="5" t="s">
        <v>606</v>
      </c>
      <c r="C389" s="5" t="s">
        <v>74</v>
      </c>
      <c r="D389" s="6">
        <v>45422</v>
      </c>
      <c r="E389" s="5">
        <v>8694.01</v>
      </c>
      <c r="F389" s="5" t="s">
        <v>1493</v>
      </c>
      <c r="G389" s="6">
        <v>45480</v>
      </c>
    </row>
    <row r="390" spans="1:7" x14ac:dyDescent="0.3">
      <c r="A390" s="5" t="s">
        <v>1883</v>
      </c>
      <c r="B390" s="5" t="s">
        <v>608</v>
      </c>
      <c r="C390" s="5" t="s">
        <v>123</v>
      </c>
      <c r="D390" s="6">
        <v>45939</v>
      </c>
      <c r="E390" s="5">
        <v>108952.92</v>
      </c>
      <c r="F390" s="5" t="s">
        <v>1530</v>
      </c>
      <c r="G390" s="5"/>
    </row>
    <row r="391" spans="1:7" x14ac:dyDescent="0.3">
      <c r="A391" s="5" t="s">
        <v>1884</v>
      </c>
      <c r="B391" s="5" t="s">
        <v>608</v>
      </c>
      <c r="C391" s="5" t="s">
        <v>123</v>
      </c>
      <c r="D391" s="6">
        <v>45983</v>
      </c>
      <c r="E391" s="5">
        <v>7578.91</v>
      </c>
      <c r="F391" s="5" t="s">
        <v>1493</v>
      </c>
      <c r="G391" s="6">
        <v>46002</v>
      </c>
    </row>
    <row r="392" spans="1:7" x14ac:dyDescent="0.3">
      <c r="A392" s="5" t="s">
        <v>1885</v>
      </c>
      <c r="B392" s="5" t="s">
        <v>608</v>
      </c>
      <c r="C392" s="5" t="s">
        <v>123</v>
      </c>
      <c r="D392" s="6">
        <v>46028</v>
      </c>
      <c r="E392" s="5">
        <v>5785.6</v>
      </c>
      <c r="F392" s="5" t="s">
        <v>1495</v>
      </c>
      <c r="G392" s="5"/>
    </row>
    <row r="393" spans="1:7" x14ac:dyDescent="0.3">
      <c r="A393" s="5" t="s">
        <v>1886</v>
      </c>
      <c r="B393" s="5" t="s">
        <v>608</v>
      </c>
      <c r="C393" s="5" t="s">
        <v>123</v>
      </c>
      <c r="D393" s="6">
        <v>46073</v>
      </c>
      <c r="E393" s="5">
        <v>31855.39</v>
      </c>
      <c r="F393" s="5" t="s">
        <v>1495</v>
      </c>
      <c r="G393" s="5"/>
    </row>
    <row r="394" spans="1:7" x14ac:dyDescent="0.3">
      <c r="A394" s="5" t="s">
        <v>1887</v>
      </c>
      <c r="B394" s="5" t="s">
        <v>610</v>
      </c>
      <c r="C394" s="5" t="s">
        <v>157</v>
      </c>
      <c r="D394" s="6">
        <v>45989</v>
      </c>
      <c r="E394" s="5">
        <v>24668.1</v>
      </c>
      <c r="F394" s="5" t="s">
        <v>1493</v>
      </c>
      <c r="G394" s="6">
        <v>46047</v>
      </c>
    </row>
    <row r="395" spans="1:7" x14ac:dyDescent="0.3">
      <c r="A395" s="5" t="s">
        <v>1888</v>
      </c>
      <c r="B395" s="5" t="s">
        <v>610</v>
      </c>
      <c r="C395" s="5" t="s">
        <v>157</v>
      </c>
      <c r="D395" s="6">
        <v>46014</v>
      </c>
      <c r="E395" s="5">
        <v>51710.74</v>
      </c>
      <c r="F395" s="5" t="s">
        <v>1493</v>
      </c>
      <c r="G395" s="6">
        <v>46072</v>
      </c>
    </row>
    <row r="396" spans="1:7" x14ac:dyDescent="0.3">
      <c r="A396" s="5" t="s">
        <v>1889</v>
      </c>
      <c r="B396" s="5" t="s">
        <v>612</v>
      </c>
      <c r="C396" s="5" t="s">
        <v>133</v>
      </c>
      <c r="D396" s="6">
        <v>45607</v>
      </c>
      <c r="E396" s="5">
        <v>47721.36</v>
      </c>
      <c r="F396" s="5" t="s">
        <v>1530</v>
      </c>
      <c r="G396" s="5"/>
    </row>
    <row r="397" spans="1:7" x14ac:dyDescent="0.3">
      <c r="A397" s="5" t="s">
        <v>1890</v>
      </c>
      <c r="B397" s="5" t="s">
        <v>612</v>
      </c>
      <c r="C397" s="5" t="s">
        <v>133</v>
      </c>
      <c r="D397" s="6">
        <v>45656</v>
      </c>
      <c r="E397" s="5">
        <v>81114.98</v>
      </c>
      <c r="F397" s="5" t="s">
        <v>1493</v>
      </c>
      <c r="G397" s="6">
        <v>45715</v>
      </c>
    </row>
    <row r="398" spans="1:7" x14ac:dyDescent="0.3">
      <c r="A398" s="5" t="s">
        <v>1891</v>
      </c>
      <c r="B398" s="5" t="s">
        <v>614</v>
      </c>
      <c r="C398" s="5" t="s">
        <v>185</v>
      </c>
      <c r="D398" s="6">
        <v>45469</v>
      </c>
      <c r="E398" s="5">
        <v>131810.87</v>
      </c>
      <c r="F398" s="5" t="s">
        <v>1493</v>
      </c>
      <c r="G398" s="6">
        <v>45480</v>
      </c>
    </row>
    <row r="399" spans="1:7" x14ac:dyDescent="0.3">
      <c r="A399" s="5" t="s">
        <v>1892</v>
      </c>
      <c r="B399" s="5" t="s">
        <v>616</v>
      </c>
      <c r="C399" s="5" t="s">
        <v>173</v>
      </c>
      <c r="D399" s="6">
        <v>45831</v>
      </c>
      <c r="E399" s="5">
        <v>53077.8</v>
      </c>
      <c r="F399" s="5" t="s">
        <v>1493</v>
      </c>
      <c r="G399" s="6">
        <v>45871</v>
      </c>
    </row>
    <row r="400" spans="1:7" x14ac:dyDescent="0.3">
      <c r="A400" s="5" t="s">
        <v>1893</v>
      </c>
      <c r="B400" s="5" t="s">
        <v>616</v>
      </c>
      <c r="C400" s="5" t="s">
        <v>173</v>
      </c>
      <c r="D400" s="6">
        <v>45847</v>
      </c>
      <c r="E400" s="5">
        <v>38672.660000000003</v>
      </c>
      <c r="F400" s="5" t="s">
        <v>1493</v>
      </c>
      <c r="G400" s="6">
        <v>45881</v>
      </c>
    </row>
    <row r="401" spans="1:7" x14ac:dyDescent="0.3">
      <c r="A401" s="5" t="s">
        <v>1894</v>
      </c>
      <c r="B401" s="5" t="s">
        <v>618</v>
      </c>
      <c r="C401" s="5" t="s">
        <v>50</v>
      </c>
      <c r="D401" s="6">
        <v>46023</v>
      </c>
      <c r="E401" s="5">
        <v>198758.49</v>
      </c>
      <c r="F401" s="5" t="s">
        <v>1493</v>
      </c>
      <c r="G401" s="6">
        <v>46036</v>
      </c>
    </row>
    <row r="402" spans="1:7" x14ac:dyDescent="0.3">
      <c r="A402" s="5" t="s">
        <v>1895</v>
      </c>
      <c r="B402" s="5" t="s">
        <v>620</v>
      </c>
      <c r="C402" s="5" t="s">
        <v>125</v>
      </c>
      <c r="D402" s="6">
        <v>46160</v>
      </c>
      <c r="E402" s="5">
        <v>121617.44</v>
      </c>
      <c r="F402" s="5" t="s">
        <v>1493</v>
      </c>
      <c r="G402" s="6">
        <v>46220</v>
      </c>
    </row>
    <row r="403" spans="1:7" x14ac:dyDescent="0.3">
      <c r="A403" s="5" t="s">
        <v>1896</v>
      </c>
      <c r="B403" s="5" t="s">
        <v>622</v>
      </c>
      <c r="C403" s="5" t="s">
        <v>163</v>
      </c>
      <c r="D403" s="6">
        <v>45332</v>
      </c>
      <c r="E403" s="5">
        <v>8648.74</v>
      </c>
      <c r="F403" s="5" t="s">
        <v>1530</v>
      </c>
      <c r="G403" s="5"/>
    </row>
    <row r="404" spans="1:7" x14ac:dyDescent="0.3">
      <c r="A404" s="5" t="s">
        <v>1897</v>
      </c>
      <c r="B404" s="5" t="s">
        <v>622</v>
      </c>
      <c r="C404" s="5" t="s">
        <v>163</v>
      </c>
      <c r="D404" s="6">
        <v>45362</v>
      </c>
      <c r="E404" s="5">
        <v>22303.56</v>
      </c>
      <c r="F404" s="5" t="s">
        <v>1493</v>
      </c>
      <c r="G404" s="6">
        <v>45382</v>
      </c>
    </row>
    <row r="405" spans="1:7" x14ac:dyDescent="0.3">
      <c r="A405" s="5" t="s">
        <v>1898</v>
      </c>
      <c r="B405" s="5" t="s">
        <v>622</v>
      </c>
      <c r="C405" s="5" t="s">
        <v>163</v>
      </c>
      <c r="D405" s="6">
        <v>45392</v>
      </c>
      <c r="E405" s="5">
        <v>39007.54</v>
      </c>
      <c r="F405" s="5" t="s">
        <v>1493</v>
      </c>
      <c r="G405" s="6">
        <v>45418</v>
      </c>
    </row>
    <row r="406" spans="1:7" x14ac:dyDescent="0.3">
      <c r="A406" s="5" t="s">
        <v>1899</v>
      </c>
      <c r="B406" s="5" t="s">
        <v>624</v>
      </c>
      <c r="C406" s="5" t="s">
        <v>42</v>
      </c>
      <c r="D406" s="6">
        <v>46031</v>
      </c>
      <c r="E406" s="5">
        <v>94257.52</v>
      </c>
      <c r="F406" s="5" t="s">
        <v>1493</v>
      </c>
      <c r="G406" s="6">
        <v>46084</v>
      </c>
    </row>
    <row r="407" spans="1:7" x14ac:dyDescent="0.3">
      <c r="A407" s="5" t="s">
        <v>1900</v>
      </c>
      <c r="B407" s="5" t="s">
        <v>624</v>
      </c>
      <c r="C407" s="5" t="s">
        <v>42</v>
      </c>
      <c r="D407" s="6">
        <v>46092</v>
      </c>
      <c r="E407" s="5">
        <v>83350.320000000007</v>
      </c>
      <c r="F407" s="5" t="s">
        <v>1493</v>
      </c>
      <c r="G407" s="6">
        <v>46103</v>
      </c>
    </row>
    <row r="408" spans="1:7" x14ac:dyDescent="0.3">
      <c r="A408" s="5" t="s">
        <v>1901</v>
      </c>
      <c r="B408" s="5" t="s">
        <v>626</v>
      </c>
      <c r="C408" s="5" t="s">
        <v>145</v>
      </c>
      <c r="D408" s="6">
        <v>45995</v>
      </c>
      <c r="E408" s="5">
        <v>26064</v>
      </c>
      <c r="F408" s="5" t="s">
        <v>1493</v>
      </c>
      <c r="G408" s="6">
        <v>46010</v>
      </c>
    </row>
    <row r="409" spans="1:7" x14ac:dyDescent="0.3">
      <c r="A409" s="5" t="s">
        <v>1902</v>
      </c>
      <c r="B409" s="5" t="s">
        <v>626</v>
      </c>
      <c r="C409" s="5" t="s">
        <v>145</v>
      </c>
      <c r="D409" s="6">
        <v>46057</v>
      </c>
      <c r="E409" s="5">
        <v>98022.76</v>
      </c>
      <c r="F409" s="5" t="s">
        <v>1493</v>
      </c>
      <c r="G409" s="6">
        <v>46075</v>
      </c>
    </row>
    <row r="410" spans="1:7" x14ac:dyDescent="0.3">
      <c r="A410" s="5" t="s">
        <v>1903</v>
      </c>
      <c r="B410" s="5" t="s">
        <v>628</v>
      </c>
      <c r="C410" s="5" t="s">
        <v>100</v>
      </c>
      <c r="D410" s="6">
        <v>45793</v>
      </c>
      <c r="E410" s="5">
        <v>98441.59</v>
      </c>
      <c r="F410" s="5" t="s">
        <v>1493</v>
      </c>
      <c r="G410" s="6">
        <v>45807</v>
      </c>
    </row>
    <row r="411" spans="1:7" x14ac:dyDescent="0.3">
      <c r="A411" s="5" t="s">
        <v>1904</v>
      </c>
      <c r="B411" s="5" t="s">
        <v>628</v>
      </c>
      <c r="C411" s="5" t="s">
        <v>100</v>
      </c>
      <c r="D411" s="6">
        <v>45814</v>
      </c>
      <c r="E411" s="5">
        <v>8089.61</v>
      </c>
      <c r="F411" s="5" t="s">
        <v>1493</v>
      </c>
      <c r="G411" s="6">
        <v>45843</v>
      </c>
    </row>
    <row r="412" spans="1:7" x14ac:dyDescent="0.3">
      <c r="A412" s="5" t="s">
        <v>1905</v>
      </c>
      <c r="B412" s="5" t="s">
        <v>628</v>
      </c>
      <c r="C412" s="5" t="s">
        <v>100</v>
      </c>
      <c r="D412" s="6">
        <v>45835</v>
      </c>
      <c r="E412" s="5">
        <v>15715.68</v>
      </c>
      <c r="F412" s="5" t="s">
        <v>1493</v>
      </c>
      <c r="G412" s="6">
        <v>45873</v>
      </c>
    </row>
    <row r="413" spans="1:7" x14ac:dyDescent="0.3">
      <c r="A413" s="5" t="s">
        <v>1906</v>
      </c>
      <c r="B413" s="5" t="s">
        <v>628</v>
      </c>
      <c r="C413" s="5" t="s">
        <v>100</v>
      </c>
      <c r="D413" s="6">
        <v>45856</v>
      </c>
      <c r="E413" s="5">
        <v>33360.11</v>
      </c>
      <c r="F413" s="5" t="s">
        <v>1493</v>
      </c>
      <c r="G413" s="6">
        <v>45886</v>
      </c>
    </row>
    <row r="414" spans="1:7" x14ac:dyDescent="0.3">
      <c r="A414" s="5" t="s">
        <v>1907</v>
      </c>
      <c r="B414" s="5" t="s">
        <v>630</v>
      </c>
      <c r="C414" s="5" t="s">
        <v>149</v>
      </c>
      <c r="D414" s="6">
        <v>45436</v>
      </c>
      <c r="E414" s="5">
        <v>12520.54</v>
      </c>
      <c r="F414" s="5" t="s">
        <v>1493</v>
      </c>
      <c r="G414" s="6">
        <v>45454</v>
      </c>
    </row>
    <row r="415" spans="1:7" x14ac:dyDescent="0.3">
      <c r="A415" s="5" t="s">
        <v>1908</v>
      </c>
      <c r="B415" s="5" t="s">
        <v>630</v>
      </c>
      <c r="C415" s="5" t="s">
        <v>149</v>
      </c>
      <c r="D415" s="6">
        <v>45519</v>
      </c>
      <c r="E415" s="5">
        <v>188406.5</v>
      </c>
      <c r="F415" s="5" t="s">
        <v>1493</v>
      </c>
      <c r="G415" s="6">
        <v>45556</v>
      </c>
    </row>
    <row r="416" spans="1:7" x14ac:dyDescent="0.3">
      <c r="A416" s="5" t="s">
        <v>1909</v>
      </c>
      <c r="B416" s="5" t="s">
        <v>632</v>
      </c>
      <c r="C416" s="5" t="s">
        <v>112</v>
      </c>
      <c r="D416" s="6">
        <v>45492</v>
      </c>
      <c r="E416" s="5">
        <v>103099.5</v>
      </c>
      <c r="F416" s="5" t="s">
        <v>1493</v>
      </c>
      <c r="G416" s="6">
        <v>45509</v>
      </c>
    </row>
    <row r="417" spans="1:7" x14ac:dyDescent="0.3">
      <c r="A417" s="5" t="s">
        <v>1910</v>
      </c>
      <c r="B417" s="5" t="s">
        <v>634</v>
      </c>
      <c r="C417" s="5" t="s">
        <v>167</v>
      </c>
      <c r="D417" s="6">
        <v>46015</v>
      </c>
      <c r="E417" s="5">
        <v>60074.94</v>
      </c>
      <c r="F417" s="5" t="s">
        <v>1493</v>
      </c>
      <c r="G417" s="6">
        <v>46055</v>
      </c>
    </row>
    <row r="418" spans="1:7" x14ac:dyDescent="0.3">
      <c r="A418" s="5" t="s">
        <v>1911</v>
      </c>
      <c r="B418" s="5" t="s">
        <v>634</v>
      </c>
      <c r="C418" s="5" t="s">
        <v>167</v>
      </c>
      <c r="D418" s="6">
        <v>46045</v>
      </c>
      <c r="E418" s="5">
        <v>37675.99</v>
      </c>
      <c r="F418" s="5" t="s">
        <v>1495</v>
      </c>
      <c r="G418" s="5"/>
    </row>
    <row r="419" spans="1:7" x14ac:dyDescent="0.3">
      <c r="A419" s="5" t="s">
        <v>1912</v>
      </c>
      <c r="B419" s="5" t="s">
        <v>636</v>
      </c>
      <c r="C419" s="5" t="s">
        <v>104</v>
      </c>
      <c r="D419" s="6">
        <v>45752</v>
      </c>
      <c r="E419" s="5">
        <v>64320.01</v>
      </c>
      <c r="F419" s="5" t="s">
        <v>1495</v>
      </c>
      <c r="G419" s="5"/>
    </row>
    <row r="420" spans="1:7" x14ac:dyDescent="0.3">
      <c r="A420" s="5" t="s">
        <v>1913</v>
      </c>
      <c r="B420" s="5" t="s">
        <v>638</v>
      </c>
      <c r="C420" s="5" t="s">
        <v>139</v>
      </c>
      <c r="D420" s="6">
        <v>46023</v>
      </c>
      <c r="E420" s="5">
        <v>195910.14</v>
      </c>
      <c r="F420" s="5" t="s">
        <v>1493</v>
      </c>
      <c r="G420" s="6">
        <v>46052</v>
      </c>
    </row>
    <row r="421" spans="1:7" x14ac:dyDescent="0.3">
      <c r="A421" s="5" t="s">
        <v>1914</v>
      </c>
      <c r="B421" s="5" t="s">
        <v>640</v>
      </c>
      <c r="C421" s="5" t="s">
        <v>153</v>
      </c>
      <c r="D421" s="6">
        <v>46043</v>
      </c>
      <c r="E421" s="5">
        <v>99832.5</v>
      </c>
      <c r="F421" s="5" t="s">
        <v>1493</v>
      </c>
      <c r="G421" s="6">
        <v>46079</v>
      </c>
    </row>
    <row r="422" spans="1:7" x14ac:dyDescent="0.3">
      <c r="A422" s="5" t="s">
        <v>1915</v>
      </c>
      <c r="B422" s="5" t="s">
        <v>640</v>
      </c>
      <c r="C422" s="5" t="s">
        <v>153</v>
      </c>
      <c r="D422" s="6">
        <v>46060</v>
      </c>
      <c r="E422" s="5">
        <v>79077.91</v>
      </c>
      <c r="F422" s="5" t="s">
        <v>1495</v>
      </c>
      <c r="G422" s="5"/>
    </row>
    <row r="423" spans="1:7" x14ac:dyDescent="0.3">
      <c r="A423" s="5" t="s">
        <v>1916</v>
      </c>
      <c r="B423" s="5" t="s">
        <v>642</v>
      </c>
      <c r="C423" s="5" t="s">
        <v>118</v>
      </c>
      <c r="D423" s="6">
        <v>46200</v>
      </c>
      <c r="E423" s="5">
        <v>194585.35</v>
      </c>
      <c r="F423" s="5" t="s">
        <v>1493</v>
      </c>
      <c r="G423" s="6">
        <v>46217</v>
      </c>
    </row>
    <row r="424" spans="1:7" x14ac:dyDescent="0.3">
      <c r="A424" s="5" t="s">
        <v>1917</v>
      </c>
      <c r="B424" s="5" t="s">
        <v>644</v>
      </c>
      <c r="C424" s="5" t="s">
        <v>40</v>
      </c>
      <c r="D424" s="6">
        <v>45849</v>
      </c>
      <c r="E424" s="5">
        <v>116773.07</v>
      </c>
      <c r="F424" s="5" t="s">
        <v>1493</v>
      </c>
      <c r="G424" s="6">
        <v>45879</v>
      </c>
    </row>
    <row r="425" spans="1:7" x14ac:dyDescent="0.3">
      <c r="A425" s="5" t="s">
        <v>1918</v>
      </c>
      <c r="B425" s="5" t="s">
        <v>644</v>
      </c>
      <c r="C425" s="5" t="s">
        <v>40</v>
      </c>
      <c r="D425" s="6">
        <v>45901</v>
      </c>
      <c r="E425" s="5">
        <v>46822.2</v>
      </c>
      <c r="F425" s="5" t="s">
        <v>1493</v>
      </c>
      <c r="G425" s="6">
        <v>45938</v>
      </c>
    </row>
    <row r="426" spans="1:7" x14ac:dyDescent="0.3">
      <c r="A426" s="5" t="s">
        <v>1919</v>
      </c>
      <c r="B426" s="5" t="s">
        <v>646</v>
      </c>
      <c r="C426" s="5" t="s">
        <v>151</v>
      </c>
      <c r="D426" s="6">
        <v>45838</v>
      </c>
      <c r="E426" s="5">
        <v>228586.56</v>
      </c>
      <c r="F426" s="5" t="s">
        <v>1493</v>
      </c>
      <c r="G426" s="6">
        <v>45870</v>
      </c>
    </row>
    <row r="427" spans="1:7" x14ac:dyDescent="0.3">
      <c r="A427" s="5" t="s">
        <v>1920</v>
      </c>
      <c r="B427" s="5" t="s">
        <v>648</v>
      </c>
      <c r="C427" s="5" t="s">
        <v>181</v>
      </c>
      <c r="D427" s="6">
        <v>45544</v>
      </c>
      <c r="E427" s="5">
        <v>39501.910000000003</v>
      </c>
      <c r="F427" s="5" t="s">
        <v>1493</v>
      </c>
      <c r="G427" s="6">
        <v>45559</v>
      </c>
    </row>
    <row r="428" spans="1:7" x14ac:dyDescent="0.3">
      <c r="A428" s="5" t="s">
        <v>1921</v>
      </c>
      <c r="B428" s="5" t="s">
        <v>648</v>
      </c>
      <c r="C428" s="5" t="s">
        <v>181</v>
      </c>
      <c r="D428" s="6">
        <v>45598</v>
      </c>
      <c r="E428" s="5">
        <v>27010.32</v>
      </c>
      <c r="F428" s="5" t="s">
        <v>1493</v>
      </c>
      <c r="G428" s="6">
        <v>45610</v>
      </c>
    </row>
    <row r="429" spans="1:7" x14ac:dyDescent="0.3">
      <c r="A429" s="5" t="s">
        <v>1922</v>
      </c>
      <c r="B429" s="5" t="s">
        <v>650</v>
      </c>
      <c r="C429" s="5" t="s">
        <v>74</v>
      </c>
      <c r="D429" s="6">
        <v>45681</v>
      </c>
      <c r="E429" s="5">
        <v>92665.39</v>
      </c>
      <c r="F429" s="5" t="s">
        <v>1530</v>
      </c>
      <c r="G429" s="5"/>
    </row>
    <row r="430" spans="1:7" x14ac:dyDescent="0.3">
      <c r="A430" s="5" t="s">
        <v>1923</v>
      </c>
      <c r="B430" s="5" t="s">
        <v>650</v>
      </c>
      <c r="C430" s="5" t="s">
        <v>74</v>
      </c>
      <c r="D430" s="6">
        <v>45762</v>
      </c>
      <c r="E430" s="5">
        <v>101882.28</v>
      </c>
      <c r="F430" s="5" t="s">
        <v>1493</v>
      </c>
      <c r="G430" s="6">
        <v>45776</v>
      </c>
    </row>
    <row r="431" spans="1:7" x14ac:dyDescent="0.3">
      <c r="A431" s="5" t="s">
        <v>1924</v>
      </c>
      <c r="B431" s="5" t="s">
        <v>652</v>
      </c>
      <c r="C431" s="5" t="s">
        <v>169</v>
      </c>
      <c r="D431" s="6">
        <v>45885</v>
      </c>
      <c r="E431" s="5">
        <v>13553.91</v>
      </c>
      <c r="F431" s="5" t="s">
        <v>1493</v>
      </c>
      <c r="G431" s="6">
        <v>45903</v>
      </c>
    </row>
    <row r="432" spans="1:7" x14ac:dyDescent="0.3">
      <c r="A432" s="5" t="s">
        <v>1925</v>
      </c>
      <c r="B432" s="5" t="s">
        <v>652</v>
      </c>
      <c r="C432" s="5" t="s">
        <v>169</v>
      </c>
      <c r="D432" s="6">
        <v>45934</v>
      </c>
      <c r="E432" s="5">
        <v>95238.9</v>
      </c>
      <c r="F432" s="5" t="s">
        <v>1493</v>
      </c>
      <c r="G432" s="6">
        <v>45950</v>
      </c>
    </row>
    <row r="433" spans="1:11" x14ac:dyDescent="0.3">
      <c r="A433" s="5" t="s">
        <v>1926</v>
      </c>
      <c r="B433" s="5" t="s">
        <v>652</v>
      </c>
      <c r="C433" s="5" t="s">
        <v>169</v>
      </c>
      <c r="D433" s="6">
        <v>45983</v>
      </c>
      <c r="E433" s="5">
        <v>32689.24</v>
      </c>
      <c r="F433" s="5" t="s">
        <v>1493</v>
      </c>
      <c r="G433" s="6">
        <v>45996</v>
      </c>
    </row>
    <row r="434" spans="1:11" x14ac:dyDescent="0.3">
      <c r="A434" s="5" t="s">
        <v>1927</v>
      </c>
      <c r="B434" s="5" t="s">
        <v>654</v>
      </c>
      <c r="C434" s="5" t="s">
        <v>131</v>
      </c>
      <c r="D434" s="6">
        <v>46174</v>
      </c>
      <c r="E434" s="5">
        <v>69784.100000000006</v>
      </c>
      <c r="F434" s="5" t="s">
        <v>1493</v>
      </c>
      <c r="G434" s="6">
        <v>46222</v>
      </c>
    </row>
    <row r="435" spans="1:11" x14ac:dyDescent="0.3">
      <c r="A435" s="5" t="s">
        <v>1928</v>
      </c>
      <c r="B435" s="5" t="s">
        <v>656</v>
      </c>
      <c r="C435" s="5" t="s">
        <v>21</v>
      </c>
      <c r="D435" s="6">
        <v>45547</v>
      </c>
      <c r="E435" s="5">
        <v>85704.76</v>
      </c>
      <c r="F435" s="5" t="s">
        <v>1493</v>
      </c>
      <c r="G435" s="6">
        <v>45561</v>
      </c>
    </row>
    <row r="436" spans="1:11" x14ac:dyDescent="0.3">
      <c r="A436" s="5" t="s">
        <v>1929</v>
      </c>
      <c r="B436" s="5" t="s">
        <v>658</v>
      </c>
      <c r="C436" s="5" t="s">
        <v>145</v>
      </c>
      <c r="D436" s="6">
        <v>46000</v>
      </c>
      <c r="E436" s="5">
        <v>69672.509999999995</v>
      </c>
      <c r="F436" s="5" t="s">
        <v>1493</v>
      </c>
      <c r="G436" s="6">
        <v>46020</v>
      </c>
    </row>
    <row r="437" spans="1:11" x14ac:dyDescent="0.3">
      <c r="A437" s="5" t="s">
        <v>1930</v>
      </c>
      <c r="B437" s="5" t="s">
        <v>660</v>
      </c>
      <c r="C437" s="5" t="s">
        <v>171</v>
      </c>
      <c r="D437" s="6">
        <v>46106</v>
      </c>
      <c r="E437" s="5">
        <v>98435.99</v>
      </c>
      <c r="F437" s="5" t="s">
        <v>1495</v>
      </c>
      <c r="G437" s="5"/>
    </row>
    <row r="438" spans="1:11" x14ac:dyDescent="0.3">
      <c r="A438" s="5" t="s">
        <v>1931</v>
      </c>
      <c r="B438" s="5" t="s">
        <v>662</v>
      </c>
      <c r="C438" s="5" t="s">
        <v>62</v>
      </c>
      <c r="D438" s="6">
        <v>45741</v>
      </c>
      <c r="E438" s="5">
        <v>20422.29</v>
      </c>
      <c r="F438" s="5" t="s">
        <v>1495</v>
      </c>
      <c r="G438" s="5"/>
    </row>
    <row r="439" spans="1:11" x14ac:dyDescent="0.3">
      <c r="A439" s="5" t="s">
        <v>1932</v>
      </c>
      <c r="B439" s="5" t="s">
        <v>662</v>
      </c>
      <c r="C439" s="5" t="s">
        <v>62</v>
      </c>
      <c r="D439" s="6">
        <v>45796</v>
      </c>
      <c r="E439" s="5">
        <v>47968.56</v>
      </c>
      <c r="F439" s="5" t="s">
        <v>1493</v>
      </c>
      <c r="G439" s="6">
        <v>45820</v>
      </c>
    </row>
    <row r="440" spans="1:11" x14ac:dyDescent="0.3">
      <c r="A440" s="5" t="s">
        <v>1933</v>
      </c>
      <c r="B440" s="5" t="s">
        <v>662</v>
      </c>
      <c r="C440" s="5" t="s">
        <v>62</v>
      </c>
      <c r="D440" s="6">
        <v>45851</v>
      </c>
      <c r="E440" s="5">
        <v>72986.5</v>
      </c>
      <c r="F440" s="5" t="s">
        <v>1495</v>
      </c>
      <c r="G440" s="5"/>
    </row>
    <row r="441" spans="1:11" x14ac:dyDescent="0.3">
      <c r="A441" s="5" t="s">
        <v>1934</v>
      </c>
      <c r="B441" s="5" t="s">
        <v>664</v>
      </c>
      <c r="C441" s="5" t="s">
        <v>153</v>
      </c>
      <c r="D441" s="6">
        <v>45301</v>
      </c>
      <c r="E441" s="5">
        <v>60065.95</v>
      </c>
      <c r="F441" s="5" t="s">
        <v>1495</v>
      </c>
      <c r="G441" s="5"/>
    </row>
    <row r="442" spans="1:11" x14ac:dyDescent="0.3">
      <c r="A442" s="5" t="s">
        <v>1935</v>
      </c>
      <c r="B442" s="5" t="s">
        <v>664</v>
      </c>
      <c r="C442" s="5" t="s">
        <v>153</v>
      </c>
      <c r="D442" s="6">
        <v>45319</v>
      </c>
      <c r="E442" s="5">
        <v>39017.54</v>
      </c>
      <c r="F442" s="5" t="s">
        <v>1493</v>
      </c>
      <c r="G442" s="6">
        <v>45362</v>
      </c>
    </row>
    <row r="443" spans="1:11" x14ac:dyDescent="0.3">
      <c r="A443" s="5" t="s">
        <v>1936</v>
      </c>
      <c r="B443" s="5" t="s">
        <v>664</v>
      </c>
      <c r="C443" s="5" t="s">
        <v>153</v>
      </c>
      <c r="D443" s="6">
        <v>45337</v>
      </c>
      <c r="E443" s="5">
        <v>71249.75</v>
      </c>
      <c r="F443" s="5" t="s">
        <v>1530</v>
      </c>
      <c r="G443" s="5"/>
    </row>
    <row r="444" spans="1:11" x14ac:dyDescent="0.3">
      <c r="A444" s="5" t="s">
        <v>1937</v>
      </c>
      <c r="B444" s="5" t="s">
        <v>666</v>
      </c>
      <c r="C444" s="5" t="s">
        <v>135</v>
      </c>
      <c r="D444" s="6">
        <v>46115</v>
      </c>
      <c r="E444" s="5">
        <v>70155.199999999997</v>
      </c>
      <c r="F444" s="5" t="s">
        <v>1495</v>
      </c>
      <c r="G444" s="5"/>
    </row>
    <row r="445" spans="1:11" x14ac:dyDescent="0.3">
      <c r="A445" s="5" t="s">
        <v>1938</v>
      </c>
      <c r="B445" s="5" t="s">
        <v>668</v>
      </c>
      <c r="C445" s="5" t="s">
        <v>175</v>
      </c>
      <c r="D445" s="6">
        <v>46089</v>
      </c>
      <c r="E445" s="5">
        <v>117374.58</v>
      </c>
      <c r="F445" s="5" t="s">
        <v>1493</v>
      </c>
      <c r="G445" s="6">
        <v>46111</v>
      </c>
    </row>
    <row r="446" spans="1:11" x14ac:dyDescent="0.3">
      <c r="A446" s="5" t="s">
        <v>1939</v>
      </c>
      <c r="B446" s="5" t="s">
        <v>670</v>
      </c>
      <c r="C446" s="5" t="s">
        <v>141</v>
      </c>
      <c r="D446" s="6">
        <v>45533</v>
      </c>
      <c r="E446" s="5">
        <v>34670.31</v>
      </c>
      <c r="F446" s="5" t="s">
        <v>1493</v>
      </c>
      <c r="G446" s="6">
        <v>45590</v>
      </c>
    </row>
    <row r="447" spans="1:11" x14ac:dyDescent="0.3">
      <c r="A447" s="5" t="s">
        <v>1940</v>
      </c>
      <c r="B447" s="5" t="s">
        <v>670</v>
      </c>
      <c r="C447" s="5" t="s">
        <v>141</v>
      </c>
      <c r="D447" s="6">
        <v>45582</v>
      </c>
      <c r="E447" s="5">
        <v>80373.91</v>
      </c>
      <c r="F447" s="5" t="s">
        <v>1530</v>
      </c>
      <c r="G447" s="5"/>
    </row>
    <row r="448" spans="1:11" x14ac:dyDescent="0.3">
      <c r="A448" s="2"/>
      <c r="B448" s="2"/>
      <c r="C448" s="2"/>
      <c r="D448" s="12"/>
      <c r="E448" s="2"/>
      <c r="F448" s="2"/>
      <c r="G448" s="12"/>
      <c r="I448" s="2"/>
      <c r="J448" s="2"/>
      <c r="K448" s="2"/>
    </row>
    <row r="449" spans="1:7" x14ac:dyDescent="0.3">
      <c r="A449" s="2"/>
      <c r="B449" s="2"/>
      <c r="C449" s="2"/>
      <c r="D449" s="12"/>
      <c r="E449" s="2"/>
      <c r="F449" s="2"/>
    </row>
    <row r="450" spans="1:7" x14ac:dyDescent="0.3">
      <c r="A450" s="2"/>
      <c r="B450" s="2"/>
      <c r="C450" s="2"/>
      <c r="D450" s="12"/>
      <c r="E450" s="2"/>
      <c r="F450" s="2"/>
      <c r="G450" s="12"/>
    </row>
    <row r="451" spans="1:7" x14ac:dyDescent="0.3">
      <c r="A451" s="2"/>
      <c r="B451" s="2"/>
      <c r="C451" s="2"/>
      <c r="D451" s="12"/>
      <c r="E451" s="2"/>
      <c r="F451" s="2"/>
      <c r="G451" s="12"/>
    </row>
    <row r="452" spans="1:7" x14ac:dyDescent="0.3">
      <c r="A452" s="2"/>
      <c r="B452" s="2"/>
      <c r="C452" s="2"/>
      <c r="D452" s="12"/>
      <c r="E452" s="2"/>
      <c r="F452" s="2"/>
      <c r="G452" s="12"/>
    </row>
    <row r="453" spans="1:7" x14ac:dyDescent="0.3">
      <c r="A453" s="2"/>
      <c r="B453" s="2"/>
      <c r="C453" s="2"/>
      <c r="D453" s="12"/>
      <c r="E453" s="2"/>
      <c r="F453" s="2"/>
      <c r="G453" s="12"/>
    </row>
    <row r="454" spans="1:7" x14ac:dyDescent="0.3">
      <c r="A454" s="2"/>
      <c r="B454" s="2"/>
      <c r="C454" s="2"/>
      <c r="D454" s="12"/>
      <c r="E454" s="2"/>
      <c r="F454" s="2"/>
      <c r="G454" s="12"/>
    </row>
    <row r="455" spans="1:7" x14ac:dyDescent="0.3">
      <c r="A455" s="2"/>
      <c r="B455" s="2"/>
      <c r="C455" s="2"/>
      <c r="D455" s="12"/>
      <c r="E455" s="2"/>
      <c r="F455" s="2"/>
      <c r="G455" s="12"/>
    </row>
    <row r="456" spans="1:7" x14ac:dyDescent="0.3">
      <c r="A456" s="2"/>
      <c r="B456" s="2"/>
      <c r="C456" s="2"/>
      <c r="D456" s="12"/>
      <c r="E456" s="2"/>
      <c r="F456" s="2"/>
    </row>
    <row r="457" spans="1:7" x14ac:dyDescent="0.3">
      <c r="A457" s="2"/>
      <c r="B457" s="2"/>
      <c r="C457" s="2"/>
      <c r="D457" s="12"/>
      <c r="E457" s="2"/>
      <c r="F457" s="2"/>
      <c r="G457" s="12"/>
    </row>
    <row r="458" spans="1:7" x14ac:dyDescent="0.3">
      <c r="A458" s="2"/>
      <c r="B458" s="2"/>
      <c r="C458" s="2"/>
      <c r="D458" s="12"/>
      <c r="E458" s="2"/>
      <c r="F458" s="2"/>
      <c r="G458" s="12"/>
    </row>
    <row r="459" spans="1:7" x14ac:dyDescent="0.3">
      <c r="A459" s="2"/>
      <c r="B459" s="2"/>
      <c r="C459" s="2"/>
      <c r="D459" s="12"/>
      <c r="E459" s="2"/>
      <c r="F459" s="2"/>
      <c r="G459" s="12"/>
    </row>
    <row r="460" spans="1:7" x14ac:dyDescent="0.3">
      <c r="A460" s="2"/>
      <c r="B460" s="2"/>
      <c r="C460" s="2"/>
      <c r="D460" s="12"/>
      <c r="E460" s="2"/>
      <c r="F460" s="2"/>
      <c r="G460" s="12"/>
    </row>
    <row r="461" spans="1:7" x14ac:dyDescent="0.3">
      <c r="A461" s="2"/>
      <c r="B461" s="2"/>
      <c r="C461" s="2"/>
      <c r="D461" s="12"/>
      <c r="E461" s="2"/>
      <c r="F461" s="2"/>
      <c r="G461" s="12"/>
    </row>
    <row r="462" spans="1:7" x14ac:dyDescent="0.3">
      <c r="A462" s="2"/>
      <c r="B462" s="2"/>
      <c r="C462" s="2"/>
      <c r="D462" s="12"/>
      <c r="E462" s="2"/>
      <c r="F462" s="2"/>
      <c r="G462" s="12"/>
    </row>
    <row r="463" spans="1:7" x14ac:dyDescent="0.3">
      <c r="A463" s="2"/>
      <c r="B463" s="2"/>
      <c r="C463" s="2"/>
      <c r="D463" s="12"/>
      <c r="E463" s="2"/>
      <c r="F463" s="2"/>
      <c r="G463" s="12"/>
    </row>
    <row r="464" spans="1:7" x14ac:dyDescent="0.3">
      <c r="A464" s="2"/>
      <c r="B464" s="2"/>
      <c r="C464" s="2"/>
      <c r="D464" s="12"/>
      <c r="E464" s="2"/>
      <c r="F464" s="2"/>
      <c r="G464" s="12"/>
    </row>
    <row r="465" spans="1:7" x14ac:dyDescent="0.3">
      <c r="A465" s="2"/>
      <c r="B465" s="2"/>
      <c r="C465" s="2"/>
      <c r="D465" s="12"/>
      <c r="E465" s="2"/>
      <c r="F465" s="2"/>
      <c r="G465" s="12"/>
    </row>
    <row r="466" spans="1:7" x14ac:dyDescent="0.3">
      <c r="A466" s="2"/>
      <c r="B466" s="2"/>
      <c r="C466" s="2"/>
      <c r="D466" s="12"/>
      <c r="E466" s="2"/>
      <c r="F466" s="2"/>
      <c r="G466" s="12"/>
    </row>
    <row r="467" spans="1:7" x14ac:dyDescent="0.3">
      <c r="A467" s="2"/>
      <c r="B467" s="2"/>
      <c r="C467" s="2"/>
      <c r="D467" s="12"/>
      <c r="E467" s="2"/>
      <c r="F467" s="2"/>
      <c r="G467" s="12"/>
    </row>
    <row r="468" spans="1:7" x14ac:dyDescent="0.3">
      <c r="A468" s="2"/>
      <c r="B468" s="2"/>
      <c r="C468" s="2"/>
      <c r="D468" s="12"/>
      <c r="E468" s="2"/>
      <c r="F468" s="2"/>
      <c r="G468" s="12"/>
    </row>
    <row r="469" spans="1:7" x14ac:dyDescent="0.3">
      <c r="A469" s="2"/>
      <c r="B469" s="2"/>
      <c r="C469" s="2"/>
      <c r="D469" s="12"/>
      <c r="E469" s="2"/>
      <c r="F469" s="2"/>
    </row>
    <row r="470" spans="1:7" x14ac:dyDescent="0.3">
      <c r="A470" s="2"/>
      <c r="B470" s="2"/>
      <c r="C470" s="2"/>
      <c r="D470" s="12"/>
      <c r="E470" s="2"/>
      <c r="F470" s="2"/>
    </row>
    <row r="471" spans="1:7" x14ac:dyDescent="0.3">
      <c r="A471" s="2"/>
      <c r="B471" s="2"/>
      <c r="C471" s="2"/>
      <c r="D471" s="12"/>
      <c r="E471" s="2"/>
      <c r="F471" s="2"/>
      <c r="G471" s="12"/>
    </row>
    <row r="472" spans="1:7" x14ac:dyDescent="0.3">
      <c r="A472" s="2"/>
      <c r="B472" s="2"/>
      <c r="C472" s="2"/>
      <c r="D472" s="12"/>
      <c r="E472" s="2"/>
      <c r="F472" s="2"/>
      <c r="G472" s="12"/>
    </row>
    <row r="473" spans="1:7" x14ac:dyDescent="0.3">
      <c r="A473" s="2"/>
      <c r="B473" s="2"/>
      <c r="C473" s="2"/>
      <c r="D473" s="12"/>
      <c r="E473" s="2"/>
      <c r="F473" s="2"/>
    </row>
    <row r="474" spans="1:7" x14ac:dyDescent="0.3">
      <c r="A474" s="2"/>
      <c r="B474" s="2"/>
      <c r="C474" s="2"/>
      <c r="D474" s="12"/>
      <c r="E474" s="2"/>
      <c r="F474" s="2"/>
      <c r="G474" s="12"/>
    </row>
    <row r="475" spans="1:7" x14ac:dyDescent="0.3">
      <c r="A475" s="2"/>
      <c r="B475" s="2"/>
      <c r="C475" s="2"/>
      <c r="D475" s="12"/>
      <c r="E475" s="2"/>
      <c r="F475" s="2"/>
    </row>
    <row r="476" spans="1:7" x14ac:dyDescent="0.3">
      <c r="A476" s="2"/>
      <c r="B476" s="2"/>
      <c r="C476" s="2"/>
      <c r="D476" s="12"/>
      <c r="E476" s="2"/>
      <c r="F476" s="2"/>
    </row>
    <row r="477" spans="1:7" x14ac:dyDescent="0.3">
      <c r="A477" s="2"/>
      <c r="B477" s="2"/>
      <c r="C477" s="2"/>
      <c r="D477" s="12"/>
      <c r="E477" s="2"/>
      <c r="F477" s="2"/>
      <c r="G477" s="12"/>
    </row>
    <row r="478" spans="1:7" x14ac:dyDescent="0.3">
      <c r="A478" s="2"/>
      <c r="B478" s="2"/>
      <c r="C478" s="2"/>
      <c r="D478" s="12"/>
      <c r="E478" s="2"/>
      <c r="F478" s="2"/>
      <c r="G478" s="12"/>
    </row>
    <row r="479" spans="1:7" x14ac:dyDescent="0.3">
      <c r="A479" s="2"/>
      <c r="B479" s="2"/>
      <c r="C479" s="2"/>
      <c r="D479" s="12"/>
      <c r="E479" s="2"/>
      <c r="F479" s="2"/>
      <c r="G479" s="12"/>
    </row>
    <row r="480" spans="1:7" x14ac:dyDescent="0.3">
      <c r="A480" s="2"/>
      <c r="B480" s="2"/>
      <c r="C480" s="2"/>
      <c r="D480" s="12"/>
      <c r="E480" s="2"/>
      <c r="F480" s="2"/>
      <c r="G480" s="12"/>
    </row>
    <row r="481" spans="1:7" x14ac:dyDescent="0.3">
      <c r="A481" s="2"/>
      <c r="B481" s="2"/>
      <c r="C481" s="2"/>
      <c r="D481" s="12"/>
      <c r="E481" s="2"/>
      <c r="F481" s="2"/>
      <c r="G481" s="12"/>
    </row>
    <row r="482" spans="1:7" x14ac:dyDescent="0.3">
      <c r="A482" s="2"/>
      <c r="B482" s="2"/>
      <c r="C482" s="2"/>
      <c r="D482" s="12"/>
      <c r="E482" s="2"/>
      <c r="F482" s="2"/>
    </row>
    <row r="483" spans="1:7" x14ac:dyDescent="0.3">
      <c r="A483" s="2"/>
      <c r="B483" s="2"/>
      <c r="C483" s="2"/>
      <c r="D483" s="12"/>
      <c r="E483" s="2"/>
      <c r="F483" s="2"/>
    </row>
    <row r="484" spans="1:7" x14ac:dyDescent="0.3">
      <c r="A484" s="2"/>
      <c r="B484" s="2"/>
      <c r="C484" s="2"/>
      <c r="D484" s="12"/>
      <c r="E484" s="2"/>
      <c r="F484" s="2"/>
    </row>
    <row r="485" spans="1:7" x14ac:dyDescent="0.3">
      <c r="A485" s="2"/>
      <c r="B485" s="2"/>
      <c r="C485" s="2"/>
      <c r="D485" s="12"/>
      <c r="E485" s="2"/>
      <c r="F485" s="2"/>
    </row>
    <row r="486" spans="1:7" x14ac:dyDescent="0.3">
      <c r="A486" s="2"/>
      <c r="B486" s="2"/>
      <c r="C486" s="2"/>
      <c r="D486" s="12"/>
      <c r="E486" s="2"/>
      <c r="F486" s="2"/>
      <c r="G486" s="12"/>
    </row>
    <row r="487" spans="1:7" x14ac:dyDescent="0.3">
      <c r="A487" s="2"/>
      <c r="B487" s="2"/>
      <c r="C487" s="2"/>
      <c r="D487" s="12"/>
      <c r="E487" s="2"/>
      <c r="F487" s="2"/>
    </row>
    <row r="488" spans="1:7" x14ac:dyDescent="0.3">
      <c r="A488" s="2"/>
      <c r="B488" s="2"/>
      <c r="C488" s="2"/>
      <c r="D488" s="12"/>
      <c r="E488" s="2"/>
      <c r="F488" s="2"/>
      <c r="G488" s="12"/>
    </row>
    <row r="489" spans="1:7" x14ac:dyDescent="0.3">
      <c r="A489" s="2"/>
      <c r="B489" s="2"/>
      <c r="C489" s="2"/>
      <c r="D489" s="12"/>
      <c r="E489" s="2"/>
      <c r="F489" s="2"/>
      <c r="G489" s="12"/>
    </row>
    <row r="490" spans="1:7" x14ac:dyDescent="0.3">
      <c r="A490" s="2"/>
      <c r="B490" s="2"/>
      <c r="C490" s="2"/>
      <c r="D490" s="12"/>
      <c r="E490" s="2"/>
      <c r="F490" s="2"/>
    </row>
    <row r="491" spans="1:7" x14ac:dyDescent="0.3">
      <c r="A491" s="2"/>
      <c r="B491" s="2"/>
      <c r="C491" s="2"/>
      <c r="D491" s="12"/>
      <c r="E491" s="2"/>
      <c r="F491" s="2"/>
      <c r="G491" s="12"/>
    </row>
    <row r="492" spans="1:7" x14ac:dyDescent="0.3">
      <c r="A492" s="2"/>
      <c r="B492" s="2"/>
      <c r="C492" s="2"/>
      <c r="D492" s="12"/>
      <c r="E492" s="2"/>
      <c r="F492" s="2"/>
    </row>
    <row r="493" spans="1:7" x14ac:dyDescent="0.3">
      <c r="A493" s="2"/>
      <c r="B493" s="2"/>
      <c r="C493" s="2"/>
      <c r="D493" s="12"/>
      <c r="E493" s="2"/>
      <c r="F493" s="2"/>
    </row>
    <row r="494" spans="1:7" x14ac:dyDescent="0.3">
      <c r="A494" s="2"/>
      <c r="B494" s="2"/>
      <c r="C494" s="2"/>
      <c r="D494" s="12"/>
      <c r="E494" s="2"/>
      <c r="F494" s="2"/>
      <c r="G494" s="12"/>
    </row>
    <row r="495" spans="1:7" x14ac:dyDescent="0.3">
      <c r="A495" s="2"/>
      <c r="B495" s="2"/>
      <c r="C495" s="2"/>
      <c r="D495" s="12"/>
      <c r="E495" s="2"/>
      <c r="F495" s="2"/>
      <c r="G495" s="12"/>
    </row>
    <row r="496" spans="1:7" x14ac:dyDescent="0.3">
      <c r="A496" s="2"/>
      <c r="B496" s="2"/>
      <c r="C496" s="2"/>
      <c r="D496" s="12"/>
      <c r="E496" s="2"/>
      <c r="F496" s="2"/>
    </row>
    <row r="497" spans="1:7" x14ac:dyDescent="0.3">
      <c r="A497" s="2"/>
      <c r="B497" s="2"/>
      <c r="C497" s="2"/>
      <c r="D497" s="12"/>
      <c r="E497" s="2"/>
      <c r="F497" s="2"/>
    </row>
    <row r="498" spans="1:7" x14ac:dyDescent="0.3">
      <c r="A498" s="2"/>
      <c r="B498" s="2"/>
      <c r="C498" s="2"/>
      <c r="D498" s="12"/>
      <c r="E498" s="2"/>
      <c r="F498" s="2"/>
      <c r="G498" s="12"/>
    </row>
    <row r="499" spans="1:7" x14ac:dyDescent="0.3">
      <c r="A499" s="2"/>
      <c r="B499" s="2"/>
      <c r="C499" s="2"/>
      <c r="D499" s="12"/>
      <c r="E499" s="2"/>
      <c r="F499" s="2"/>
      <c r="G499" s="12"/>
    </row>
    <row r="500" spans="1:7" x14ac:dyDescent="0.3">
      <c r="A500" s="2"/>
      <c r="B500" s="2"/>
      <c r="C500" s="2"/>
      <c r="D500" s="12"/>
      <c r="E500" s="2"/>
      <c r="F500" s="2"/>
      <c r="G500" s="12"/>
    </row>
    <row r="501" spans="1:7" x14ac:dyDescent="0.3">
      <c r="A501" s="2"/>
      <c r="B501" s="2"/>
      <c r="C501" s="2"/>
      <c r="D501" s="12"/>
      <c r="E501" s="2"/>
      <c r="F501" s="2"/>
      <c r="G501" s="12"/>
    </row>
    <row r="502" spans="1:7" x14ac:dyDescent="0.3">
      <c r="A502" s="2"/>
      <c r="B502" s="2"/>
      <c r="C502" s="2"/>
      <c r="D502" s="12"/>
      <c r="E502" s="2"/>
      <c r="F502" s="2"/>
    </row>
    <row r="503" spans="1:7" x14ac:dyDescent="0.3">
      <c r="A503" s="2"/>
      <c r="B503" s="2"/>
      <c r="C503" s="2"/>
      <c r="D503" s="12"/>
      <c r="E503" s="2"/>
      <c r="F503" s="2"/>
      <c r="G503" s="12"/>
    </row>
    <row r="504" spans="1:7" x14ac:dyDescent="0.3">
      <c r="A504" s="2"/>
      <c r="B504" s="2"/>
      <c r="C504" s="2"/>
      <c r="D504" s="12"/>
      <c r="E504" s="2"/>
      <c r="F504" s="2"/>
      <c r="G504" s="12"/>
    </row>
    <row r="505" spans="1:7" x14ac:dyDescent="0.3">
      <c r="A505" s="2"/>
      <c r="B505" s="2"/>
      <c r="C505" s="2"/>
      <c r="D505" s="12"/>
      <c r="E505" s="2"/>
      <c r="F505" s="2"/>
    </row>
    <row r="506" spans="1:7" x14ac:dyDescent="0.3">
      <c r="A506" s="2"/>
      <c r="B506" s="2"/>
      <c r="C506" s="2"/>
      <c r="D506" s="12"/>
      <c r="E506" s="2"/>
      <c r="F506" s="2"/>
      <c r="G506" s="12"/>
    </row>
    <row r="507" spans="1:7" x14ac:dyDescent="0.3">
      <c r="A507" s="2"/>
      <c r="B507" s="2"/>
      <c r="C507" s="2"/>
      <c r="D507" s="12"/>
      <c r="E507" s="2"/>
      <c r="F507" s="2"/>
    </row>
    <row r="508" spans="1:7" x14ac:dyDescent="0.3">
      <c r="A508" s="2"/>
      <c r="B508" s="2"/>
      <c r="C508" s="2"/>
      <c r="D508" s="12"/>
      <c r="E508" s="2"/>
      <c r="F508" s="2"/>
      <c r="G508" s="12"/>
    </row>
    <row r="509" spans="1:7" x14ac:dyDescent="0.3">
      <c r="A509" s="2"/>
      <c r="B509" s="2"/>
      <c r="C509" s="2"/>
      <c r="D509" s="12"/>
      <c r="E509" s="2"/>
      <c r="F509" s="2"/>
    </row>
    <row r="510" spans="1:7" x14ac:dyDescent="0.3">
      <c r="A510" s="2"/>
      <c r="B510" s="2"/>
      <c r="C510" s="2"/>
      <c r="D510" s="12"/>
      <c r="E510" s="2"/>
      <c r="F510" s="2"/>
      <c r="G510" s="12"/>
    </row>
    <row r="511" spans="1:7" x14ac:dyDescent="0.3">
      <c r="A511" s="2"/>
      <c r="B511" s="2"/>
      <c r="C511" s="2"/>
      <c r="D511" s="12"/>
      <c r="E511" s="2"/>
      <c r="F511" s="2"/>
      <c r="G511" s="12"/>
    </row>
    <row r="512" spans="1:7" x14ac:dyDescent="0.3">
      <c r="A512" s="2"/>
      <c r="B512" s="2"/>
      <c r="C512" s="2"/>
      <c r="D512" s="12"/>
      <c r="E512" s="2"/>
      <c r="F512" s="2"/>
      <c r="G512" s="12"/>
    </row>
    <row r="513" spans="1:7" x14ac:dyDescent="0.3">
      <c r="A513" s="2"/>
      <c r="B513" s="2"/>
      <c r="C513" s="2"/>
      <c r="D513" s="12"/>
      <c r="E513" s="2"/>
      <c r="F513" s="2"/>
      <c r="G513" s="12"/>
    </row>
    <row r="514" spans="1:7" x14ac:dyDescent="0.3">
      <c r="A514" s="2"/>
      <c r="B514" s="2"/>
      <c r="C514" s="2"/>
      <c r="D514" s="12"/>
      <c r="E514" s="2"/>
      <c r="F514" s="2"/>
    </row>
    <row r="515" spans="1:7" x14ac:dyDescent="0.3">
      <c r="A515" s="2"/>
      <c r="B515" s="2"/>
      <c r="C515" s="2"/>
      <c r="D515" s="12"/>
      <c r="E515" s="2"/>
      <c r="F515" s="2"/>
      <c r="G515" s="12"/>
    </row>
    <row r="516" spans="1:7" x14ac:dyDescent="0.3">
      <c r="A516" s="2"/>
      <c r="B516" s="2"/>
      <c r="C516" s="2"/>
      <c r="D516" s="12"/>
      <c r="E516" s="2"/>
      <c r="F516" s="2"/>
      <c r="G516" s="12"/>
    </row>
    <row r="517" spans="1:7" x14ac:dyDescent="0.3">
      <c r="A517" s="2"/>
      <c r="B517" s="2"/>
      <c r="C517" s="2"/>
      <c r="D517" s="12"/>
      <c r="E517" s="2"/>
      <c r="F517" s="2"/>
      <c r="G517" s="12"/>
    </row>
    <row r="518" spans="1:7" x14ac:dyDescent="0.3">
      <c r="A518" s="2"/>
      <c r="B518" s="2"/>
      <c r="C518" s="2"/>
      <c r="D518" s="12"/>
      <c r="E518" s="2"/>
      <c r="F518" s="2"/>
    </row>
    <row r="519" spans="1:7" x14ac:dyDescent="0.3">
      <c r="A519" s="2"/>
      <c r="B519" s="2"/>
      <c r="C519" s="2"/>
      <c r="D519" s="12"/>
      <c r="E519" s="2"/>
      <c r="F519" s="2"/>
      <c r="G519" s="12"/>
    </row>
    <row r="520" spans="1:7" x14ac:dyDescent="0.3">
      <c r="A520" s="2"/>
      <c r="B520" s="2"/>
      <c r="C520" s="2"/>
      <c r="D520" s="12"/>
      <c r="E520" s="2"/>
      <c r="F520" s="2"/>
      <c r="G520" s="12"/>
    </row>
    <row r="521" spans="1:7" x14ac:dyDescent="0.3">
      <c r="A521" s="2"/>
      <c r="B521" s="2"/>
      <c r="C521" s="2"/>
      <c r="D521" s="12"/>
      <c r="E521" s="2"/>
      <c r="F521" s="2"/>
      <c r="G521" s="12"/>
    </row>
    <row r="522" spans="1:7" x14ac:dyDescent="0.3">
      <c r="A522" s="2"/>
      <c r="B522" s="2"/>
      <c r="C522" s="2"/>
      <c r="D522" s="12"/>
      <c r="E522" s="2"/>
      <c r="F522" s="2"/>
    </row>
    <row r="523" spans="1:7" x14ac:dyDescent="0.3">
      <c r="A523" s="2"/>
      <c r="B523" s="2"/>
      <c r="C523" s="2"/>
      <c r="D523" s="12"/>
      <c r="E523" s="2"/>
      <c r="F523" s="2"/>
      <c r="G523" s="12"/>
    </row>
    <row r="524" spans="1:7" x14ac:dyDescent="0.3">
      <c r="A524" s="2"/>
      <c r="B524" s="2"/>
      <c r="C524" s="2"/>
      <c r="D524" s="12"/>
      <c r="E524" s="2"/>
      <c r="F524" s="2"/>
      <c r="G524" s="12"/>
    </row>
    <row r="525" spans="1:7" x14ac:dyDescent="0.3">
      <c r="A525" s="2"/>
      <c r="B525" s="2"/>
      <c r="C525" s="2"/>
      <c r="D525" s="12"/>
      <c r="E525" s="2"/>
      <c r="F525" s="2"/>
      <c r="G525" s="12"/>
    </row>
    <row r="526" spans="1:7" x14ac:dyDescent="0.3">
      <c r="A526" s="2"/>
      <c r="B526" s="2"/>
      <c r="C526" s="2"/>
      <c r="D526" s="12"/>
      <c r="E526" s="2"/>
      <c r="F526" s="2"/>
    </row>
    <row r="527" spans="1:7" x14ac:dyDescent="0.3">
      <c r="A527" s="2"/>
      <c r="B527" s="2"/>
      <c r="C527" s="2"/>
      <c r="D527" s="12"/>
      <c r="E527" s="2"/>
      <c r="F527" s="2"/>
      <c r="G527" s="12"/>
    </row>
    <row r="528" spans="1:7" x14ac:dyDescent="0.3">
      <c r="A528" s="2"/>
      <c r="B528" s="2"/>
      <c r="C528" s="2"/>
      <c r="D528" s="12"/>
      <c r="E528" s="2"/>
      <c r="F528" s="2"/>
      <c r="G528" s="12"/>
    </row>
    <row r="529" spans="1:7" x14ac:dyDescent="0.3">
      <c r="A529" s="2"/>
      <c r="B529" s="2"/>
      <c r="C529" s="2"/>
      <c r="D529" s="12"/>
      <c r="E529" s="2"/>
      <c r="F529" s="2"/>
      <c r="G529" s="12"/>
    </row>
    <row r="530" spans="1:7" x14ac:dyDescent="0.3">
      <c r="A530" s="2"/>
      <c r="B530" s="2"/>
      <c r="C530" s="2"/>
      <c r="D530" s="12"/>
      <c r="E530" s="2"/>
      <c r="F530" s="2"/>
      <c r="G530" s="12"/>
    </row>
    <row r="531" spans="1:7" x14ac:dyDescent="0.3">
      <c r="A531" s="2"/>
      <c r="B531" s="2"/>
      <c r="C531" s="2"/>
      <c r="D531" s="12"/>
      <c r="E531" s="2"/>
      <c r="F531" s="2"/>
    </row>
    <row r="532" spans="1:7" x14ac:dyDescent="0.3">
      <c r="A532" s="2"/>
      <c r="B532" s="2"/>
      <c r="C532" s="2"/>
      <c r="D532" s="12"/>
      <c r="E532" s="2"/>
      <c r="F532" s="2"/>
      <c r="G532" s="12"/>
    </row>
    <row r="533" spans="1:7" x14ac:dyDescent="0.3">
      <c r="A533" s="2"/>
      <c r="B533" s="2"/>
      <c r="C533" s="2"/>
      <c r="D533" s="12"/>
      <c r="E533" s="2"/>
      <c r="F533" s="2"/>
      <c r="G533" s="12"/>
    </row>
    <row r="534" spans="1:7" x14ac:dyDescent="0.3">
      <c r="A534" s="2"/>
      <c r="B534" s="2"/>
      <c r="C534" s="2"/>
      <c r="D534" s="12"/>
      <c r="E534" s="2"/>
      <c r="F534" s="2"/>
    </row>
    <row r="535" spans="1:7" x14ac:dyDescent="0.3">
      <c r="A535" s="2"/>
      <c r="B535" s="2"/>
      <c r="C535" s="2"/>
      <c r="D535" s="12"/>
      <c r="E535" s="2"/>
      <c r="F535" s="2"/>
      <c r="G535" s="12"/>
    </row>
    <row r="536" spans="1:7" x14ac:dyDescent="0.3">
      <c r="A536" s="2"/>
      <c r="B536" s="2"/>
      <c r="C536" s="2"/>
      <c r="D536" s="12"/>
      <c r="E536" s="2"/>
      <c r="F536" s="2"/>
    </row>
    <row r="537" spans="1:7" x14ac:dyDescent="0.3">
      <c r="A537" s="2"/>
      <c r="B537" s="2"/>
      <c r="C537" s="2"/>
      <c r="D537" s="12"/>
      <c r="E537" s="2"/>
      <c r="F537" s="2"/>
      <c r="G537" s="12"/>
    </row>
    <row r="538" spans="1:7" x14ac:dyDescent="0.3">
      <c r="A538" s="2"/>
      <c r="B538" s="2"/>
      <c r="C538" s="2"/>
      <c r="D538" s="12"/>
      <c r="E538" s="2"/>
      <c r="F538" s="2"/>
      <c r="G538" s="12"/>
    </row>
    <row r="539" spans="1:7" x14ac:dyDescent="0.3">
      <c r="A539" s="2"/>
      <c r="B539" s="2"/>
      <c r="C539" s="2"/>
      <c r="D539" s="12"/>
      <c r="E539" s="2"/>
      <c r="F539" s="2"/>
      <c r="G539" s="12"/>
    </row>
    <row r="540" spans="1:7" x14ac:dyDescent="0.3">
      <c r="A540" s="2"/>
      <c r="B540" s="2"/>
      <c r="C540" s="2"/>
      <c r="D540" s="12"/>
      <c r="E540" s="2"/>
      <c r="F540" s="2"/>
      <c r="G540" s="12"/>
    </row>
    <row r="541" spans="1:7" x14ac:dyDescent="0.3">
      <c r="A541" s="2"/>
      <c r="B541" s="2"/>
      <c r="C541" s="2"/>
      <c r="D541" s="12"/>
      <c r="E541" s="2"/>
      <c r="F541" s="2"/>
    </row>
    <row r="542" spans="1:7" x14ac:dyDescent="0.3">
      <c r="A542" s="2"/>
      <c r="B542" s="2"/>
      <c r="C542" s="2"/>
      <c r="D542" s="12"/>
      <c r="E542" s="2"/>
      <c r="F542" s="2"/>
      <c r="G542" s="12"/>
    </row>
    <row r="543" spans="1:7" x14ac:dyDescent="0.3">
      <c r="A543" s="2"/>
      <c r="B543" s="2"/>
      <c r="C543" s="2"/>
      <c r="D543" s="12"/>
      <c r="E543" s="2"/>
      <c r="F543" s="2"/>
      <c r="G543" s="12"/>
    </row>
    <row r="544" spans="1:7" x14ac:dyDescent="0.3">
      <c r="A544" s="2"/>
      <c r="B544" s="2"/>
      <c r="C544" s="2"/>
      <c r="D544" s="12"/>
      <c r="E544" s="2"/>
      <c r="F544" s="2"/>
      <c r="G544" s="12"/>
    </row>
    <row r="545" spans="1:7" x14ac:dyDescent="0.3">
      <c r="A545" s="2"/>
      <c r="B545" s="2"/>
      <c r="C545" s="2"/>
      <c r="D545" s="12"/>
      <c r="E545" s="2"/>
      <c r="F545" s="2"/>
      <c r="G545" s="12"/>
    </row>
    <row r="546" spans="1:7" x14ac:dyDescent="0.3">
      <c r="A546" s="2"/>
      <c r="B546" s="2"/>
      <c r="C546" s="2"/>
      <c r="D546" s="12"/>
      <c r="E546" s="2"/>
      <c r="F546" s="2"/>
      <c r="G546" s="12"/>
    </row>
    <row r="547" spans="1:7" x14ac:dyDescent="0.3">
      <c r="A547" s="2"/>
      <c r="B547" s="2"/>
      <c r="C547" s="2"/>
      <c r="D547" s="12"/>
      <c r="E547" s="2"/>
      <c r="F547" s="2"/>
      <c r="G547" s="12"/>
    </row>
    <row r="548" spans="1:7" x14ac:dyDescent="0.3">
      <c r="A548" s="2"/>
      <c r="B548" s="2"/>
      <c r="C548" s="2"/>
      <c r="D548" s="12"/>
      <c r="E548" s="2"/>
      <c r="F548" s="2"/>
      <c r="G548" s="12"/>
    </row>
    <row r="549" spans="1:7" x14ac:dyDescent="0.3">
      <c r="A549" s="2"/>
      <c r="B549" s="2"/>
      <c r="C549" s="2"/>
      <c r="D549" s="12"/>
      <c r="E549" s="2"/>
      <c r="F549" s="2"/>
    </row>
    <row r="550" spans="1:7" x14ac:dyDescent="0.3">
      <c r="A550" s="2"/>
      <c r="B550" s="2"/>
      <c r="C550" s="2"/>
      <c r="D550" s="12"/>
      <c r="E550" s="2"/>
      <c r="F550" s="2"/>
      <c r="G550" s="12"/>
    </row>
    <row r="551" spans="1:7" x14ac:dyDescent="0.3">
      <c r="A551" s="2"/>
      <c r="B551" s="2"/>
      <c r="C551" s="2"/>
      <c r="D551" s="12"/>
      <c r="E551" s="2"/>
      <c r="F551" s="2"/>
    </row>
    <row r="552" spans="1:7" x14ac:dyDescent="0.3">
      <c r="A552" s="2"/>
      <c r="B552" s="2"/>
      <c r="C552" s="2"/>
      <c r="D552" s="12"/>
      <c r="E552" s="2"/>
      <c r="F552" s="2"/>
    </row>
    <row r="553" spans="1:7" x14ac:dyDescent="0.3">
      <c r="A553" s="2"/>
      <c r="B553" s="2"/>
      <c r="C553" s="2"/>
      <c r="D553" s="12"/>
      <c r="E553" s="2"/>
      <c r="F553" s="2"/>
    </row>
    <row r="554" spans="1:7" x14ac:dyDescent="0.3">
      <c r="A554" s="2"/>
      <c r="B554" s="2"/>
      <c r="C554" s="2"/>
      <c r="D554" s="12"/>
      <c r="E554" s="2"/>
      <c r="F554" s="2"/>
      <c r="G554" s="12"/>
    </row>
    <row r="555" spans="1:7" x14ac:dyDescent="0.3">
      <c r="A555" s="2"/>
      <c r="B555" s="2"/>
      <c r="C555" s="2"/>
      <c r="D555" s="12"/>
      <c r="E555" s="2"/>
      <c r="F555" s="2"/>
      <c r="G555" s="12"/>
    </row>
    <row r="556" spans="1:7" x14ac:dyDescent="0.3">
      <c r="A556" s="2"/>
      <c r="B556" s="2"/>
      <c r="C556" s="2"/>
      <c r="D556" s="12"/>
      <c r="E556" s="2"/>
      <c r="F556" s="2"/>
      <c r="G556" s="12"/>
    </row>
    <row r="557" spans="1:7" x14ac:dyDescent="0.3">
      <c r="A557" s="2"/>
      <c r="B557" s="2"/>
      <c r="C557" s="2"/>
      <c r="D557" s="12"/>
      <c r="E557" s="2"/>
      <c r="F557" s="2"/>
      <c r="G557" s="12"/>
    </row>
    <row r="558" spans="1:7" x14ac:dyDescent="0.3">
      <c r="A558" s="2"/>
      <c r="B558" s="2"/>
      <c r="C558" s="2"/>
      <c r="D558" s="12"/>
      <c r="E558" s="2"/>
      <c r="F558" s="2"/>
      <c r="G558" s="12"/>
    </row>
    <row r="559" spans="1:7" x14ac:dyDescent="0.3">
      <c r="A559" s="2"/>
      <c r="B559" s="2"/>
      <c r="C559" s="2"/>
      <c r="D559" s="12"/>
      <c r="E559" s="2"/>
      <c r="F559" s="2"/>
    </row>
    <row r="560" spans="1:7" x14ac:dyDescent="0.3">
      <c r="A560" s="2"/>
      <c r="B560" s="2"/>
      <c r="C560" s="2"/>
      <c r="D560" s="12"/>
      <c r="E560" s="2"/>
      <c r="F560" s="2"/>
    </row>
    <row r="561" spans="1:7" x14ac:dyDescent="0.3">
      <c r="A561" s="2"/>
      <c r="B561" s="2"/>
      <c r="C561" s="2"/>
      <c r="D561" s="12"/>
      <c r="E561" s="2"/>
      <c r="F561" s="2"/>
      <c r="G561" s="12"/>
    </row>
    <row r="562" spans="1:7" x14ac:dyDescent="0.3">
      <c r="A562" s="2"/>
      <c r="B562" s="2"/>
      <c r="C562" s="2"/>
      <c r="D562" s="12"/>
      <c r="E562" s="2"/>
      <c r="F562" s="2"/>
      <c r="G562" s="12"/>
    </row>
    <row r="563" spans="1:7" x14ac:dyDescent="0.3">
      <c r="A563" s="2"/>
      <c r="B563" s="2"/>
      <c r="C563" s="2"/>
      <c r="D563" s="12"/>
      <c r="E563" s="2"/>
      <c r="F563" s="2"/>
      <c r="G563" s="12"/>
    </row>
    <row r="564" spans="1:7" x14ac:dyDescent="0.3">
      <c r="A564" s="2"/>
      <c r="B564" s="2"/>
      <c r="C564" s="2"/>
      <c r="D564" s="12"/>
      <c r="E564" s="2"/>
      <c r="F564" s="2"/>
      <c r="G564" s="12"/>
    </row>
    <row r="565" spans="1:7" x14ac:dyDescent="0.3">
      <c r="A565" s="2"/>
      <c r="B565" s="2"/>
      <c r="C565" s="2"/>
      <c r="D565" s="12"/>
      <c r="E565" s="2"/>
      <c r="F565" s="2"/>
      <c r="G565" s="12"/>
    </row>
    <row r="566" spans="1:7" x14ac:dyDescent="0.3">
      <c r="A566" s="2"/>
      <c r="B566" s="2"/>
      <c r="C566" s="2"/>
      <c r="D566" s="12"/>
      <c r="E566" s="2"/>
      <c r="F566" s="2"/>
      <c r="G566" s="12"/>
    </row>
    <row r="567" spans="1:7" x14ac:dyDescent="0.3">
      <c r="A567" s="2"/>
      <c r="B567" s="2"/>
      <c r="C567" s="2"/>
      <c r="D567" s="12"/>
      <c r="E567" s="2"/>
      <c r="F567" s="2"/>
    </row>
    <row r="568" spans="1:7" x14ac:dyDescent="0.3">
      <c r="A568" s="2"/>
      <c r="B568" s="2"/>
      <c r="C568" s="2"/>
      <c r="D568" s="12"/>
      <c r="E568" s="2"/>
      <c r="F568" s="2"/>
      <c r="G568" s="12"/>
    </row>
    <row r="569" spans="1:7" x14ac:dyDescent="0.3">
      <c r="A569" s="2"/>
      <c r="B569" s="2"/>
      <c r="C569" s="2"/>
      <c r="D569" s="12"/>
      <c r="E569" s="2"/>
      <c r="F569" s="2"/>
    </row>
    <row r="570" spans="1:7" x14ac:dyDescent="0.3">
      <c r="A570" s="2"/>
      <c r="B570" s="2"/>
      <c r="C570" s="2"/>
      <c r="D570" s="12"/>
      <c r="E570" s="2"/>
      <c r="F570" s="2"/>
      <c r="G570" s="12"/>
    </row>
    <row r="571" spans="1:7" x14ac:dyDescent="0.3">
      <c r="A571" s="2"/>
      <c r="B571" s="2"/>
      <c r="C571" s="2"/>
      <c r="D571" s="12"/>
      <c r="E571" s="2"/>
      <c r="F571" s="2"/>
      <c r="G571" s="12"/>
    </row>
    <row r="572" spans="1:7" x14ac:dyDescent="0.3">
      <c r="A572" s="2"/>
      <c r="B572" s="2"/>
      <c r="C572" s="2"/>
      <c r="D572" s="12"/>
      <c r="E572" s="2"/>
      <c r="F572" s="2"/>
      <c r="G572" s="12"/>
    </row>
    <row r="573" spans="1:7" x14ac:dyDescent="0.3">
      <c r="A573" s="2"/>
      <c r="B573" s="2"/>
      <c r="C573" s="2"/>
      <c r="D573" s="12"/>
      <c r="E573" s="2"/>
      <c r="F573" s="2"/>
      <c r="G573" s="12"/>
    </row>
    <row r="574" spans="1:7" x14ac:dyDescent="0.3">
      <c r="A574" s="2"/>
      <c r="B574" s="2"/>
      <c r="C574" s="2"/>
      <c r="D574" s="12"/>
      <c r="E574" s="2"/>
      <c r="F574" s="2"/>
      <c r="G574" s="12"/>
    </row>
    <row r="575" spans="1:7" x14ac:dyDescent="0.3">
      <c r="A575" s="2"/>
      <c r="B575" s="2"/>
      <c r="C575" s="2"/>
      <c r="D575" s="12"/>
      <c r="E575" s="2"/>
      <c r="F575" s="2"/>
    </row>
    <row r="576" spans="1:7" x14ac:dyDescent="0.3">
      <c r="A576" s="2"/>
      <c r="B576" s="2"/>
      <c r="C576" s="2"/>
      <c r="D576" s="12"/>
      <c r="E576" s="2"/>
      <c r="F576" s="2"/>
      <c r="G576" s="12"/>
    </row>
    <row r="577" spans="1:7" x14ac:dyDescent="0.3">
      <c r="A577" s="2"/>
      <c r="B577" s="2"/>
      <c r="C577" s="2"/>
      <c r="D577" s="12"/>
      <c r="E577" s="2"/>
      <c r="F577" s="2"/>
      <c r="G577" s="12"/>
    </row>
    <row r="578" spans="1:7" x14ac:dyDescent="0.3">
      <c r="A578" s="2"/>
      <c r="B578" s="2"/>
      <c r="C578" s="2"/>
      <c r="D578" s="12"/>
      <c r="E578" s="2"/>
      <c r="F578" s="2"/>
    </row>
    <row r="579" spans="1:7" x14ac:dyDescent="0.3">
      <c r="A579" s="2"/>
      <c r="B579" s="2"/>
      <c r="C579" s="2"/>
      <c r="D579" s="12"/>
      <c r="E579" s="2"/>
      <c r="F579" s="2"/>
    </row>
    <row r="580" spans="1:7" x14ac:dyDescent="0.3">
      <c r="A580" s="2"/>
      <c r="B580" s="2"/>
      <c r="C580" s="2"/>
      <c r="D580" s="12"/>
      <c r="E580" s="2"/>
      <c r="F580" s="2"/>
      <c r="G580" s="12"/>
    </row>
    <row r="581" spans="1:7" x14ac:dyDescent="0.3">
      <c r="A581" s="2"/>
      <c r="B581" s="2"/>
      <c r="C581" s="2"/>
      <c r="D581" s="12"/>
      <c r="E581" s="2"/>
      <c r="F581" s="2"/>
      <c r="G581" s="12"/>
    </row>
    <row r="582" spans="1:7" x14ac:dyDescent="0.3">
      <c r="A582" s="2"/>
      <c r="B582" s="2"/>
      <c r="C582" s="2"/>
      <c r="D582" s="12"/>
      <c r="E582" s="2"/>
      <c r="F582" s="2"/>
    </row>
    <row r="583" spans="1:7" x14ac:dyDescent="0.3">
      <c r="A583" s="2"/>
      <c r="B583" s="2"/>
      <c r="C583" s="2"/>
      <c r="D583" s="12"/>
      <c r="E583" s="2"/>
      <c r="F583" s="2"/>
      <c r="G583" s="12"/>
    </row>
    <row r="584" spans="1:7" x14ac:dyDescent="0.3">
      <c r="A584" s="2"/>
      <c r="B584" s="2"/>
      <c r="C584" s="2"/>
      <c r="D584" s="12"/>
      <c r="E584" s="2"/>
      <c r="F584" s="2"/>
    </row>
    <row r="585" spans="1:7" x14ac:dyDescent="0.3">
      <c r="A585" s="2"/>
      <c r="B585" s="2"/>
      <c r="C585" s="2"/>
      <c r="D585" s="12"/>
      <c r="E585" s="2"/>
      <c r="F585" s="2"/>
      <c r="G585" s="12"/>
    </row>
    <row r="586" spans="1:7" x14ac:dyDescent="0.3">
      <c r="A586" s="2"/>
      <c r="B586" s="2"/>
      <c r="C586" s="2"/>
      <c r="D586" s="12"/>
      <c r="E586" s="2"/>
      <c r="F586" s="2"/>
    </row>
    <row r="587" spans="1:7" x14ac:dyDescent="0.3">
      <c r="A587" s="2"/>
      <c r="B587" s="2"/>
      <c r="C587" s="2"/>
      <c r="D587" s="12"/>
      <c r="E587" s="2"/>
      <c r="F587" s="2"/>
    </row>
    <row r="588" spans="1:7" x14ac:dyDescent="0.3">
      <c r="A588" s="2"/>
      <c r="B588" s="2"/>
      <c r="C588" s="2"/>
      <c r="D588" s="12"/>
      <c r="E588" s="2"/>
      <c r="F588" s="2"/>
      <c r="G588" s="12"/>
    </row>
    <row r="589" spans="1:7" x14ac:dyDescent="0.3">
      <c r="A589" s="2"/>
      <c r="B589" s="2"/>
      <c r="C589" s="2"/>
      <c r="D589" s="12"/>
      <c r="E589" s="2"/>
      <c r="F589" s="2"/>
      <c r="G589" s="12"/>
    </row>
    <row r="590" spans="1:7" x14ac:dyDescent="0.3">
      <c r="A590" s="2"/>
      <c r="B590" s="2"/>
      <c r="C590" s="2"/>
      <c r="D590" s="12"/>
      <c r="E590" s="2"/>
      <c r="F590" s="2"/>
      <c r="G590" s="12"/>
    </row>
    <row r="591" spans="1:7" x14ac:dyDescent="0.3">
      <c r="A591" s="2"/>
      <c r="B591" s="2"/>
      <c r="C591" s="2"/>
      <c r="D591" s="12"/>
      <c r="E591" s="2"/>
      <c r="F591" s="2"/>
      <c r="G591" s="12"/>
    </row>
    <row r="592" spans="1:7" x14ac:dyDescent="0.3">
      <c r="A592" s="2"/>
      <c r="B592" s="2"/>
      <c r="C592" s="2"/>
      <c r="D592" s="12"/>
      <c r="E592" s="2"/>
      <c r="F592" s="2"/>
      <c r="G592" s="12"/>
    </row>
    <row r="593" spans="1:7" x14ac:dyDescent="0.3">
      <c r="A593" s="2"/>
      <c r="B593" s="2"/>
      <c r="C593" s="2"/>
      <c r="D593" s="12"/>
      <c r="E593" s="2"/>
      <c r="F593" s="2"/>
    </row>
    <row r="594" spans="1:7" x14ac:dyDescent="0.3">
      <c r="A594" s="2"/>
      <c r="B594" s="2"/>
      <c r="C594" s="2"/>
      <c r="D594" s="12"/>
      <c r="E594" s="2"/>
      <c r="F594" s="2"/>
      <c r="G594" s="12"/>
    </row>
    <row r="595" spans="1:7" x14ac:dyDescent="0.3">
      <c r="A595" s="2"/>
      <c r="B595" s="2"/>
      <c r="C595" s="2"/>
      <c r="D595" s="12"/>
      <c r="E595" s="2"/>
      <c r="F595" s="2"/>
    </row>
    <row r="596" spans="1:7" x14ac:dyDescent="0.3">
      <c r="A596" s="2"/>
      <c r="B596" s="2"/>
      <c r="C596" s="2"/>
      <c r="D596" s="12"/>
      <c r="E596" s="2"/>
      <c r="F596" s="2"/>
      <c r="G596" s="12"/>
    </row>
    <row r="597" spans="1:7" x14ac:dyDescent="0.3">
      <c r="A597" s="2"/>
      <c r="B597" s="2"/>
      <c r="C597" s="2"/>
      <c r="D597" s="12"/>
      <c r="E597" s="2"/>
      <c r="F597" s="2"/>
      <c r="G597" s="12"/>
    </row>
    <row r="598" spans="1:7" x14ac:dyDescent="0.3">
      <c r="A598" s="2"/>
      <c r="B598" s="2"/>
      <c r="C598" s="2"/>
      <c r="D598" s="12"/>
      <c r="E598" s="2"/>
      <c r="F598" s="2"/>
      <c r="G598" s="12"/>
    </row>
    <row r="599" spans="1:7" x14ac:dyDescent="0.3">
      <c r="A599" s="2"/>
      <c r="B599" s="2"/>
      <c r="C599" s="2"/>
      <c r="D599" s="12"/>
      <c r="E599" s="2"/>
      <c r="F599" s="2"/>
      <c r="G599" s="12"/>
    </row>
    <row r="600" spans="1:7" x14ac:dyDescent="0.3">
      <c r="A600" s="2"/>
      <c r="B600" s="2"/>
      <c r="C600" s="2"/>
      <c r="D600" s="12"/>
      <c r="E600" s="2"/>
      <c r="F600" s="2"/>
      <c r="G600" s="12"/>
    </row>
    <row r="601" spans="1:7" x14ac:dyDescent="0.3">
      <c r="A601" s="2"/>
      <c r="B601" s="2"/>
      <c r="C601" s="2"/>
      <c r="D601" s="12"/>
      <c r="E601" s="2"/>
      <c r="F601" s="2"/>
      <c r="G601" s="12"/>
    </row>
    <row r="602" spans="1:7" x14ac:dyDescent="0.3">
      <c r="A602" s="2"/>
      <c r="B602" s="2"/>
      <c r="C602" s="2"/>
      <c r="D602" s="12"/>
      <c r="E602" s="2"/>
      <c r="F602" s="2"/>
      <c r="G602" s="12"/>
    </row>
    <row r="603" spans="1:7" x14ac:dyDescent="0.3">
      <c r="A603" s="2"/>
      <c r="B603" s="2"/>
      <c r="C603" s="2"/>
      <c r="D603" s="12"/>
      <c r="E603" s="2"/>
      <c r="F603" s="2"/>
      <c r="G603" s="12"/>
    </row>
    <row r="604" spans="1:7" x14ac:dyDescent="0.3">
      <c r="A604" s="2"/>
      <c r="B604" s="2"/>
      <c r="C604" s="2"/>
      <c r="D604" s="12"/>
      <c r="E604" s="2"/>
      <c r="F604" s="2"/>
    </row>
    <row r="605" spans="1:7" x14ac:dyDescent="0.3">
      <c r="A605" s="2"/>
      <c r="B605" s="2"/>
      <c r="C605" s="2"/>
      <c r="D605" s="12"/>
      <c r="E605" s="2"/>
      <c r="F605" s="2"/>
      <c r="G605" s="12"/>
    </row>
    <row r="606" spans="1:7" x14ac:dyDescent="0.3">
      <c r="A606" s="2"/>
      <c r="B606" s="2"/>
      <c r="C606" s="2"/>
      <c r="D606" s="12"/>
      <c r="E606" s="2"/>
      <c r="F606" s="2"/>
    </row>
    <row r="607" spans="1:7" x14ac:dyDescent="0.3">
      <c r="A607" s="2"/>
      <c r="B607" s="2"/>
      <c r="C607" s="2"/>
      <c r="D607" s="12"/>
      <c r="E607" s="2"/>
      <c r="F607" s="2"/>
      <c r="G607" s="12"/>
    </row>
    <row r="608" spans="1:7" x14ac:dyDescent="0.3">
      <c r="A608" s="2"/>
      <c r="B608" s="2"/>
      <c r="C608" s="2"/>
      <c r="D608" s="12"/>
      <c r="E608" s="2"/>
      <c r="F608" s="2"/>
      <c r="G608" s="12"/>
    </row>
    <row r="609" spans="1:7" x14ac:dyDescent="0.3">
      <c r="A609" s="2"/>
      <c r="B609" s="2"/>
      <c r="C609" s="2"/>
      <c r="D609" s="12"/>
      <c r="E609" s="2"/>
      <c r="F609" s="2"/>
      <c r="G609" s="12"/>
    </row>
    <row r="610" spans="1:7" x14ac:dyDescent="0.3">
      <c r="A610" s="2"/>
      <c r="B610" s="2"/>
      <c r="C610" s="2"/>
      <c r="D610" s="12"/>
      <c r="E610" s="2"/>
      <c r="F610" s="2"/>
    </row>
    <row r="611" spans="1:7" x14ac:dyDescent="0.3">
      <c r="A611" s="2"/>
      <c r="B611" s="2"/>
      <c r="C611" s="2"/>
      <c r="D611" s="12"/>
      <c r="E611" s="2"/>
      <c r="F611" s="2"/>
    </row>
    <row r="612" spans="1:7" x14ac:dyDescent="0.3">
      <c r="A612" s="2"/>
      <c r="B612" s="2"/>
      <c r="C612" s="2"/>
      <c r="D612" s="12"/>
      <c r="E612" s="2"/>
      <c r="F612" s="2"/>
    </row>
    <row r="613" spans="1:7" x14ac:dyDescent="0.3">
      <c r="A613" s="2"/>
      <c r="B613" s="2"/>
      <c r="C613" s="2"/>
      <c r="D613" s="12"/>
      <c r="E613" s="2"/>
      <c r="F613" s="2"/>
    </row>
    <row r="614" spans="1:7" x14ac:dyDescent="0.3">
      <c r="A614" s="2"/>
      <c r="B614" s="2"/>
      <c r="C614" s="2"/>
      <c r="D614" s="12"/>
      <c r="E614" s="2"/>
      <c r="F614" s="2"/>
      <c r="G614" s="12"/>
    </row>
    <row r="615" spans="1:7" x14ac:dyDescent="0.3">
      <c r="A615" s="2"/>
      <c r="B615" s="2"/>
      <c r="C615" s="2"/>
      <c r="D615" s="12"/>
      <c r="E615" s="2"/>
      <c r="F615" s="2"/>
      <c r="G615" s="12"/>
    </row>
    <row r="616" spans="1:7" x14ac:dyDescent="0.3">
      <c r="A616" s="2"/>
      <c r="B616" s="2"/>
      <c r="C616" s="2"/>
      <c r="D616" s="12"/>
      <c r="E616" s="2"/>
      <c r="F616" s="2"/>
      <c r="G616" s="12"/>
    </row>
    <row r="617" spans="1:7" x14ac:dyDescent="0.3">
      <c r="A617" s="2"/>
      <c r="B617" s="2"/>
      <c r="C617" s="2"/>
      <c r="D617" s="12"/>
      <c r="E617" s="2"/>
      <c r="F617" s="2"/>
      <c r="G617" s="12"/>
    </row>
    <row r="618" spans="1:7" x14ac:dyDescent="0.3">
      <c r="A618" s="2"/>
      <c r="B618" s="2"/>
      <c r="C618" s="2"/>
      <c r="D618" s="12"/>
      <c r="E618" s="2"/>
      <c r="F618" s="2"/>
    </row>
    <row r="619" spans="1:7" x14ac:dyDescent="0.3">
      <c r="A619" s="2"/>
      <c r="B619" s="2"/>
      <c r="C619" s="2"/>
      <c r="D619" s="12"/>
      <c r="E619" s="2"/>
      <c r="F619" s="2"/>
      <c r="G619" s="12"/>
    </row>
    <row r="620" spans="1:7" x14ac:dyDescent="0.3">
      <c r="A620" s="2"/>
      <c r="B620" s="2"/>
      <c r="C620" s="2"/>
      <c r="D620" s="12"/>
      <c r="E620" s="2"/>
      <c r="F620" s="2"/>
      <c r="G620" s="12"/>
    </row>
    <row r="621" spans="1:7" x14ac:dyDescent="0.3">
      <c r="A621" s="2"/>
      <c r="B621" s="2"/>
      <c r="C621" s="2"/>
      <c r="D621" s="12"/>
      <c r="E621" s="2"/>
      <c r="F621" s="2"/>
    </row>
    <row r="622" spans="1:7" x14ac:dyDescent="0.3">
      <c r="A622" s="2"/>
      <c r="B622" s="2"/>
      <c r="C622" s="2"/>
      <c r="D622" s="12"/>
      <c r="E622" s="2"/>
      <c r="F622" s="2"/>
    </row>
    <row r="623" spans="1:7" x14ac:dyDescent="0.3">
      <c r="A623" s="2"/>
      <c r="B623" s="2"/>
      <c r="C623" s="2"/>
      <c r="D623" s="12"/>
      <c r="E623" s="2"/>
      <c r="F623" s="2"/>
      <c r="G623" s="12"/>
    </row>
    <row r="624" spans="1:7" x14ac:dyDescent="0.3">
      <c r="A624" s="2"/>
      <c r="B624" s="2"/>
      <c r="C624" s="2"/>
      <c r="D624" s="12"/>
      <c r="E624" s="2"/>
      <c r="F624" s="2"/>
      <c r="G624" s="12"/>
    </row>
    <row r="625" spans="1:7" x14ac:dyDescent="0.3">
      <c r="A625" s="2"/>
      <c r="B625" s="2"/>
      <c r="C625" s="2"/>
      <c r="D625" s="12"/>
      <c r="E625" s="2"/>
      <c r="F625" s="2"/>
      <c r="G625" s="12"/>
    </row>
    <row r="626" spans="1:7" x14ac:dyDescent="0.3">
      <c r="A626" s="2"/>
      <c r="B626" s="2"/>
      <c r="C626" s="2"/>
      <c r="D626" s="12"/>
      <c r="E626" s="2"/>
      <c r="F626" s="2"/>
    </row>
    <row r="627" spans="1:7" x14ac:dyDescent="0.3">
      <c r="A627" s="2"/>
      <c r="B627" s="2"/>
      <c r="C627" s="2"/>
      <c r="D627" s="12"/>
      <c r="E627" s="2"/>
      <c r="F627" s="2"/>
      <c r="G627" s="12"/>
    </row>
    <row r="628" spans="1:7" x14ac:dyDescent="0.3">
      <c r="A628" s="2"/>
      <c r="B628" s="2"/>
      <c r="C628" s="2"/>
      <c r="D628" s="12"/>
      <c r="E628" s="2"/>
      <c r="F628" s="2"/>
    </row>
    <row r="629" spans="1:7" x14ac:dyDescent="0.3">
      <c r="A629" s="2"/>
      <c r="B629" s="2"/>
      <c r="C629" s="2"/>
      <c r="D629" s="12"/>
      <c r="E629" s="2"/>
      <c r="F629" s="2"/>
      <c r="G629" s="12"/>
    </row>
    <row r="630" spans="1:7" x14ac:dyDescent="0.3">
      <c r="A630" s="2"/>
      <c r="B630" s="2"/>
      <c r="C630" s="2"/>
      <c r="D630" s="12"/>
      <c r="E630" s="2"/>
      <c r="F630" s="2"/>
      <c r="G630" s="12"/>
    </row>
    <row r="631" spans="1:7" x14ac:dyDescent="0.3">
      <c r="A631" s="2"/>
      <c r="B631" s="2"/>
      <c r="C631" s="2"/>
      <c r="D631" s="12"/>
      <c r="E631" s="2"/>
      <c r="F631" s="2"/>
      <c r="G631" s="12"/>
    </row>
    <row r="632" spans="1:7" x14ac:dyDescent="0.3">
      <c r="A632" s="2"/>
      <c r="B632" s="2"/>
      <c r="C632" s="2"/>
      <c r="D632" s="12"/>
      <c r="E632" s="2"/>
      <c r="F632" s="2"/>
      <c r="G632" s="12"/>
    </row>
    <row r="633" spans="1:7" x14ac:dyDescent="0.3">
      <c r="A633" s="2"/>
      <c r="B633" s="2"/>
      <c r="C633" s="2"/>
      <c r="D633" s="12"/>
      <c r="E633" s="2"/>
      <c r="F633" s="2"/>
    </row>
    <row r="634" spans="1:7" x14ac:dyDescent="0.3">
      <c r="A634" s="2"/>
      <c r="B634" s="2"/>
      <c r="C634" s="2"/>
      <c r="D634" s="12"/>
      <c r="E634" s="2"/>
      <c r="F634" s="2"/>
      <c r="G634" s="12"/>
    </row>
    <row r="635" spans="1:7" x14ac:dyDescent="0.3">
      <c r="A635" s="2"/>
      <c r="B635" s="2"/>
      <c r="C635" s="2"/>
      <c r="D635" s="12"/>
      <c r="E635" s="2"/>
      <c r="F635" s="2"/>
    </row>
    <row r="636" spans="1:7" x14ac:dyDescent="0.3">
      <c r="A636" s="2"/>
      <c r="B636" s="2"/>
      <c r="C636" s="2"/>
      <c r="D636" s="12"/>
      <c r="E636" s="2"/>
      <c r="F636" s="2"/>
      <c r="G636" s="12"/>
    </row>
    <row r="637" spans="1:7" x14ac:dyDescent="0.3">
      <c r="A637" s="2"/>
      <c r="B637" s="2"/>
      <c r="C637" s="2"/>
      <c r="D637" s="12"/>
      <c r="E637" s="2"/>
      <c r="F637" s="2"/>
      <c r="G637" s="12"/>
    </row>
    <row r="638" spans="1:7" x14ac:dyDescent="0.3">
      <c r="A638" s="2"/>
      <c r="B638" s="2"/>
      <c r="C638" s="2"/>
      <c r="D638" s="12"/>
      <c r="E638" s="2"/>
      <c r="F638" s="2"/>
      <c r="G638" s="12"/>
    </row>
    <row r="639" spans="1:7" x14ac:dyDescent="0.3">
      <c r="A639" s="2"/>
      <c r="B639" s="2"/>
      <c r="C639" s="2"/>
      <c r="D639" s="12"/>
      <c r="E639" s="2"/>
      <c r="F639" s="2"/>
    </row>
    <row r="640" spans="1:7" x14ac:dyDescent="0.3">
      <c r="A640" s="2"/>
      <c r="B640" s="2"/>
      <c r="C640" s="2"/>
      <c r="D640" s="12"/>
      <c r="E640" s="2"/>
      <c r="F640" s="2"/>
      <c r="G640" s="12"/>
    </row>
    <row r="641" spans="1:7" x14ac:dyDescent="0.3">
      <c r="A641" s="2"/>
      <c r="B641" s="2"/>
      <c r="C641" s="2"/>
      <c r="D641" s="12"/>
      <c r="E641" s="2"/>
      <c r="F641" s="2"/>
      <c r="G641" s="12"/>
    </row>
    <row r="642" spans="1:7" x14ac:dyDescent="0.3">
      <c r="A642" s="2"/>
      <c r="B642" s="2"/>
      <c r="C642" s="2"/>
      <c r="D642" s="12"/>
      <c r="E642" s="2"/>
      <c r="F642" s="2"/>
    </row>
    <row r="643" spans="1:7" x14ac:dyDescent="0.3">
      <c r="A643" s="2"/>
      <c r="B643" s="2"/>
      <c r="C643" s="2"/>
      <c r="D643" s="12"/>
      <c r="E643" s="2"/>
      <c r="F643" s="2"/>
      <c r="G643" s="12"/>
    </row>
    <row r="644" spans="1:7" x14ac:dyDescent="0.3">
      <c r="A644" s="2"/>
      <c r="B644" s="2"/>
      <c r="C644" s="2"/>
      <c r="D644" s="12"/>
      <c r="E644" s="2"/>
      <c r="F644" s="2"/>
      <c r="G644" s="12"/>
    </row>
    <row r="645" spans="1:7" x14ac:dyDescent="0.3">
      <c r="A645" s="2"/>
      <c r="B645" s="2"/>
      <c r="C645" s="2"/>
      <c r="D645" s="12"/>
      <c r="E645" s="2"/>
      <c r="F645" s="2"/>
    </row>
    <row r="646" spans="1:7" x14ac:dyDescent="0.3">
      <c r="A646" s="2"/>
      <c r="B646" s="2"/>
      <c r="C646" s="2"/>
      <c r="D646" s="12"/>
      <c r="E646" s="2"/>
      <c r="F646" s="2"/>
      <c r="G646" s="12"/>
    </row>
    <row r="647" spans="1:7" x14ac:dyDescent="0.3">
      <c r="A647" s="2"/>
      <c r="B647" s="2"/>
      <c r="C647" s="2"/>
      <c r="D647" s="12"/>
      <c r="E647" s="2"/>
      <c r="F647" s="2"/>
      <c r="G647" s="12"/>
    </row>
    <row r="648" spans="1:7" x14ac:dyDescent="0.3">
      <c r="A648" s="2"/>
      <c r="B648" s="2"/>
      <c r="C648" s="2"/>
      <c r="D648" s="12"/>
      <c r="E648" s="2"/>
      <c r="F648" s="2"/>
      <c r="G648" s="12"/>
    </row>
    <row r="649" spans="1:7" x14ac:dyDescent="0.3">
      <c r="A649" s="2"/>
      <c r="B649" s="2"/>
      <c r="C649" s="2"/>
      <c r="D649" s="12"/>
      <c r="E649" s="2"/>
      <c r="F649" s="2"/>
    </row>
    <row r="650" spans="1:7" x14ac:dyDescent="0.3">
      <c r="A650" s="2"/>
      <c r="B650" s="2"/>
      <c r="C650" s="2"/>
      <c r="D650" s="12"/>
      <c r="E650" s="2"/>
      <c r="F650" s="2"/>
      <c r="G650" s="12"/>
    </row>
    <row r="651" spans="1:7" x14ac:dyDescent="0.3">
      <c r="A651" s="2"/>
      <c r="B651" s="2"/>
      <c r="C651" s="2"/>
      <c r="D651" s="12"/>
      <c r="E651" s="2"/>
      <c r="F651" s="2"/>
      <c r="G651" s="12"/>
    </row>
    <row r="652" spans="1:7" x14ac:dyDescent="0.3">
      <c r="A652" s="2"/>
      <c r="B652" s="2"/>
      <c r="C652" s="2"/>
      <c r="D652" s="12"/>
      <c r="E652" s="2"/>
      <c r="F652" s="2"/>
    </row>
    <row r="653" spans="1:7" x14ac:dyDescent="0.3">
      <c r="A653" s="2"/>
      <c r="B653" s="2"/>
      <c r="C653" s="2"/>
      <c r="D653" s="12"/>
      <c r="E653" s="2"/>
      <c r="F653" s="2"/>
    </row>
    <row r="654" spans="1:7" x14ac:dyDescent="0.3">
      <c r="A654" s="2"/>
      <c r="B654" s="2"/>
      <c r="C654" s="2"/>
      <c r="D654" s="12"/>
      <c r="E654" s="2"/>
      <c r="F654" s="2"/>
      <c r="G654" s="12"/>
    </row>
    <row r="655" spans="1:7" x14ac:dyDescent="0.3">
      <c r="A655" s="2"/>
      <c r="B655" s="2"/>
      <c r="C655" s="2"/>
      <c r="D655" s="12"/>
      <c r="E655" s="2"/>
      <c r="F655" s="2"/>
      <c r="G655" s="12"/>
    </row>
    <row r="656" spans="1:7" x14ac:dyDescent="0.3">
      <c r="A656" s="2"/>
      <c r="B656" s="2"/>
      <c r="C656" s="2"/>
      <c r="D656" s="12"/>
      <c r="E656" s="2"/>
      <c r="F656" s="2"/>
      <c r="G656" s="12"/>
    </row>
    <row r="657" spans="1:7" x14ac:dyDescent="0.3">
      <c r="A657" s="2"/>
      <c r="B657" s="2"/>
      <c r="C657" s="2"/>
      <c r="D657" s="12"/>
      <c r="E657" s="2"/>
      <c r="F657" s="2"/>
      <c r="G657" s="12"/>
    </row>
    <row r="658" spans="1:7" x14ac:dyDescent="0.3">
      <c r="A658" s="2"/>
      <c r="B658" s="2"/>
      <c r="C658" s="2"/>
      <c r="D658" s="12"/>
      <c r="E658" s="2"/>
      <c r="F658" s="2"/>
      <c r="G658" s="12"/>
    </row>
    <row r="659" spans="1:7" x14ac:dyDescent="0.3">
      <c r="A659" s="2"/>
      <c r="B659" s="2"/>
      <c r="C659" s="2"/>
      <c r="D659" s="12"/>
      <c r="E659" s="2"/>
      <c r="F659" s="2"/>
      <c r="G659" s="12"/>
    </row>
    <row r="660" spans="1:7" x14ac:dyDescent="0.3">
      <c r="A660" s="2"/>
      <c r="B660" s="2"/>
      <c r="C660" s="2"/>
      <c r="D660" s="12"/>
      <c r="E660" s="2"/>
      <c r="F660" s="2"/>
      <c r="G660" s="12"/>
    </row>
    <row r="661" spans="1:7" x14ac:dyDescent="0.3">
      <c r="A661" s="2"/>
      <c r="B661" s="2"/>
      <c r="C661" s="2"/>
      <c r="D661" s="12"/>
      <c r="E661" s="2"/>
      <c r="F661" s="2"/>
    </row>
    <row r="662" spans="1:7" x14ac:dyDescent="0.3">
      <c r="A662" s="2"/>
      <c r="B662" s="2"/>
      <c r="C662" s="2"/>
      <c r="D662" s="12"/>
      <c r="E662" s="2"/>
      <c r="F662" s="2"/>
      <c r="G662" s="12"/>
    </row>
    <row r="663" spans="1:7" x14ac:dyDescent="0.3">
      <c r="A663" s="2"/>
      <c r="B663" s="2"/>
      <c r="C663" s="2"/>
      <c r="D663" s="12"/>
      <c r="E663" s="2"/>
      <c r="F663" s="2"/>
      <c r="G663" s="12"/>
    </row>
    <row r="664" spans="1:7" x14ac:dyDescent="0.3">
      <c r="A664" s="2"/>
      <c r="B664" s="2"/>
      <c r="C664" s="2"/>
      <c r="D664" s="12"/>
      <c r="E664" s="2"/>
      <c r="F664" s="2"/>
      <c r="G664" s="12"/>
    </row>
    <row r="665" spans="1:7" x14ac:dyDescent="0.3">
      <c r="A665" s="2"/>
      <c r="B665" s="2"/>
      <c r="C665" s="2"/>
      <c r="D665" s="12"/>
      <c r="E665" s="2"/>
      <c r="F665" s="2"/>
    </row>
    <row r="666" spans="1:7" x14ac:dyDescent="0.3">
      <c r="A666" s="2"/>
      <c r="B666" s="2"/>
      <c r="C666" s="2"/>
      <c r="D666" s="12"/>
      <c r="E666" s="2"/>
      <c r="F666" s="2"/>
    </row>
    <row r="667" spans="1:7" x14ac:dyDescent="0.3">
      <c r="A667" s="2"/>
      <c r="B667" s="2"/>
      <c r="C667" s="2"/>
      <c r="D667" s="12"/>
      <c r="E667" s="2"/>
      <c r="F667" s="2"/>
      <c r="G667" s="12"/>
    </row>
    <row r="668" spans="1:7" x14ac:dyDescent="0.3">
      <c r="A668" s="2"/>
      <c r="B668" s="2"/>
      <c r="C668" s="2"/>
      <c r="D668" s="12"/>
      <c r="E668" s="2"/>
      <c r="F668" s="2"/>
      <c r="G668" s="12"/>
    </row>
    <row r="669" spans="1:7" x14ac:dyDescent="0.3">
      <c r="A669" s="2"/>
      <c r="B669" s="2"/>
      <c r="C669" s="2"/>
      <c r="D669" s="12"/>
      <c r="E669" s="2"/>
      <c r="F669" s="2"/>
      <c r="G669" s="12"/>
    </row>
    <row r="670" spans="1:7" x14ac:dyDescent="0.3">
      <c r="A670" s="2"/>
      <c r="B670" s="2"/>
      <c r="C670" s="2"/>
      <c r="D670" s="12"/>
      <c r="E670" s="2"/>
      <c r="F670" s="2"/>
    </row>
    <row r="671" spans="1:7" x14ac:dyDescent="0.3">
      <c r="A671" s="2"/>
      <c r="B671" s="2"/>
      <c r="C671" s="2"/>
      <c r="D671" s="12"/>
      <c r="E671" s="2"/>
      <c r="F671" s="2"/>
    </row>
    <row r="672" spans="1:7" x14ac:dyDescent="0.3">
      <c r="A672" s="2"/>
      <c r="B672" s="2"/>
      <c r="C672" s="2"/>
      <c r="D672" s="12"/>
      <c r="E672" s="2"/>
      <c r="F672" s="2"/>
    </row>
    <row r="673" spans="1:7" x14ac:dyDescent="0.3">
      <c r="A673" s="2"/>
      <c r="B673" s="2"/>
      <c r="C673" s="2"/>
      <c r="D673" s="12"/>
      <c r="E673" s="2"/>
      <c r="F673" s="2"/>
      <c r="G673" s="12"/>
    </row>
    <row r="674" spans="1:7" x14ac:dyDescent="0.3">
      <c r="A674" s="2"/>
      <c r="B674" s="2"/>
      <c r="C674" s="2"/>
      <c r="D674" s="12"/>
      <c r="E674" s="2"/>
      <c r="F674" s="2"/>
      <c r="G674" s="12"/>
    </row>
    <row r="675" spans="1:7" x14ac:dyDescent="0.3">
      <c r="A675" s="2"/>
      <c r="B675" s="2"/>
      <c r="C675" s="2"/>
      <c r="D675" s="12"/>
      <c r="E675" s="2"/>
      <c r="F675" s="2"/>
      <c r="G675" s="12"/>
    </row>
    <row r="676" spans="1:7" x14ac:dyDescent="0.3">
      <c r="A676" s="2"/>
      <c r="B676" s="2"/>
      <c r="C676" s="2"/>
      <c r="D676" s="12"/>
      <c r="E676" s="2"/>
      <c r="F676" s="2"/>
    </row>
    <row r="677" spans="1:7" x14ac:dyDescent="0.3">
      <c r="A677" s="2"/>
      <c r="B677" s="2"/>
      <c r="C677" s="2"/>
      <c r="D677" s="12"/>
      <c r="E677" s="2"/>
      <c r="F677" s="2"/>
      <c r="G677" s="12"/>
    </row>
    <row r="678" spans="1:7" x14ac:dyDescent="0.3">
      <c r="A678" s="2"/>
      <c r="B678" s="2"/>
      <c r="C678" s="2"/>
      <c r="D678" s="12"/>
      <c r="E678" s="2"/>
      <c r="F678" s="2"/>
      <c r="G678" s="12"/>
    </row>
    <row r="679" spans="1:7" x14ac:dyDescent="0.3">
      <c r="A679" s="2"/>
      <c r="B679" s="2"/>
      <c r="C679" s="2"/>
      <c r="D679" s="12"/>
      <c r="E679" s="2"/>
      <c r="F679" s="2"/>
      <c r="G679" s="12"/>
    </row>
    <row r="680" spans="1:7" x14ac:dyDescent="0.3">
      <c r="A680" s="2"/>
      <c r="B680" s="2"/>
      <c r="C680" s="2"/>
      <c r="D680" s="12"/>
      <c r="E680" s="2"/>
      <c r="F680" s="2"/>
      <c r="G680" s="12"/>
    </row>
    <row r="681" spans="1:7" x14ac:dyDescent="0.3">
      <c r="A681" s="2"/>
      <c r="B681" s="2"/>
      <c r="C681" s="2"/>
      <c r="D681" s="12"/>
      <c r="E681" s="2"/>
      <c r="F681" s="2"/>
    </row>
    <row r="682" spans="1:7" x14ac:dyDescent="0.3">
      <c r="A682" s="2"/>
      <c r="B682" s="2"/>
      <c r="C682" s="2"/>
      <c r="D682" s="12"/>
      <c r="E682" s="2"/>
      <c r="F682" s="2"/>
      <c r="G682" s="12"/>
    </row>
    <row r="683" spans="1:7" x14ac:dyDescent="0.3">
      <c r="A683" s="2"/>
      <c r="B683" s="2"/>
      <c r="C683" s="2"/>
      <c r="D683" s="12"/>
      <c r="E683" s="2"/>
      <c r="F683" s="2"/>
    </row>
    <row r="684" spans="1:7" x14ac:dyDescent="0.3">
      <c r="A684" s="2"/>
      <c r="B684" s="2"/>
      <c r="C684" s="2"/>
      <c r="D684" s="12"/>
      <c r="E684" s="2"/>
      <c r="F684" s="2"/>
      <c r="G684" s="12"/>
    </row>
    <row r="685" spans="1:7" x14ac:dyDescent="0.3">
      <c r="A685" s="2"/>
      <c r="B685" s="2"/>
      <c r="C685" s="2"/>
      <c r="D685" s="12"/>
      <c r="E685" s="2"/>
      <c r="F685" s="2"/>
      <c r="G685" s="12"/>
    </row>
    <row r="686" spans="1:7" x14ac:dyDescent="0.3">
      <c r="A686" s="2"/>
      <c r="B686" s="2"/>
      <c r="C686" s="2"/>
      <c r="D686" s="12"/>
      <c r="E686" s="2"/>
      <c r="F686" s="2"/>
      <c r="G686" s="12"/>
    </row>
    <row r="687" spans="1:7" x14ac:dyDescent="0.3">
      <c r="A687" s="2"/>
      <c r="B687" s="2"/>
      <c r="C687" s="2"/>
      <c r="D687" s="12"/>
      <c r="E687" s="2"/>
      <c r="F687" s="2"/>
    </row>
    <row r="688" spans="1:7" x14ac:dyDescent="0.3">
      <c r="A688" s="2"/>
      <c r="B688" s="2"/>
      <c r="C688" s="2"/>
      <c r="D688" s="12"/>
      <c r="E688" s="2"/>
      <c r="F688" s="2"/>
      <c r="G688" s="12"/>
    </row>
    <row r="689" spans="1:7" x14ac:dyDescent="0.3">
      <c r="A689" s="2"/>
      <c r="B689" s="2"/>
      <c r="C689" s="2"/>
      <c r="D689" s="12"/>
      <c r="E689" s="2"/>
      <c r="F689" s="2"/>
      <c r="G689" s="12"/>
    </row>
    <row r="690" spans="1:7" x14ac:dyDescent="0.3">
      <c r="A690" s="2"/>
      <c r="B690" s="2"/>
      <c r="C690" s="2"/>
      <c r="D690" s="12"/>
      <c r="E690" s="2"/>
      <c r="F690" s="2"/>
      <c r="G690" s="12"/>
    </row>
    <row r="691" spans="1:7" x14ac:dyDescent="0.3">
      <c r="A691" s="2"/>
      <c r="B691" s="2"/>
      <c r="C691" s="2"/>
      <c r="D691" s="12"/>
      <c r="E691" s="2"/>
      <c r="F691" s="2"/>
      <c r="G691" s="12"/>
    </row>
    <row r="692" spans="1:7" x14ac:dyDescent="0.3">
      <c r="A692" s="2"/>
      <c r="B692" s="2"/>
      <c r="C692" s="2"/>
      <c r="D692" s="12"/>
      <c r="E692" s="2"/>
      <c r="F692" s="2"/>
      <c r="G692" s="12"/>
    </row>
    <row r="693" spans="1:7" x14ac:dyDescent="0.3">
      <c r="A693" s="2"/>
      <c r="B693" s="2"/>
      <c r="C693" s="2"/>
      <c r="D693" s="12"/>
      <c r="E693" s="2"/>
      <c r="F693" s="2"/>
      <c r="G693" s="12"/>
    </row>
    <row r="694" spans="1:7" x14ac:dyDescent="0.3">
      <c r="A694" s="2"/>
      <c r="B694" s="2"/>
      <c r="C694" s="2"/>
      <c r="D694" s="12"/>
      <c r="E694" s="2"/>
      <c r="F694" s="2"/>
      <c r="G694" s="12"/>
    </row>
    <row r="695" spans="1:7" x14ac:dyDescent="0.3">
      <c r="A695" s="2"/>
      <c r="B695" s="2"/>
      <c r="C695" s="2"/>
      <c r="D695" s="12"/>
      <c r="E695" s="2"/>
      <c r="F695" s="2"/>
    </row>
    <row r="696" spans="1:7" x14ac:dyDescent="0.3">
      <c r="A696" s="2"/>
      <c r="B696" s="2"/>
      <c r="C696" s="2"/>
      <c r="D696" s="12"/>
      <c r="E696" s="2"/>
      <c r="F696" s="2"/>
    </row>
    <row r="697" spans="1:7" x14ac:dyDescent="0.3">
      <c r="A697" s="2"/>
      <c r="B697" s="2"/>
      <c r="C697" s="2"/>
      <c r="D697" s="12"/>
      <c r="E697" s="2"/>
      <c r="F697" s="2"/>
    </row>
    <row r="698" spans="1:7" x14ac:dyDescent="0.3">
      <c r="A698" s="2"/>
      <c r="B698" s="2"/>
      <c r="C698" s="2"/>
      <c r="D698" s="12"/>
      <c r="E698" s="2"/>
      <c r="F698" s="2"/>
      <c r="G698" s="12"/>
    </row>
    <row r="699" spans="1:7" x14ac:dyDescent="0.3">
      <c r="A699" s="2"/>
      <c r="B699" s="2"/>
      <c r="C699" s="2"/>
      <c r="D699" s="12"/>
      <c r="E699" s="2"/>
      <c r="F699" s="2"/>
      <c r="G699" s="12"/>
    </row>
    <row r="700" spans="1:7" x14ac:dyDescent="0.3">
      <c r="A700" s="2"/>
      <c r="B700" s="2"/>
      <c r="C700" s="2"/>
      <c r="D700" s="12"/>
      <c r="E700" s="2"/>
      <c r="F700" s="2"/>
    </row>
    <row r="701" spans="1:7" x14ac:dyDescent="0.3">
      <c r="A701" s="2"/>
      <c r="B701" s="2"/>
      <c r="C701" s="2"/>
      <c r="D701" s="12"/>
      <c r="E701" s="2"/>
      <c r="F701" s="2"/>
    </row>
    <row r="702" spans="1:7" x14ac:dyDescent="0.3">
      <c r="A702" s="2"/>
      <c r="B702" s="2"/>
      <c r="C702" s="2"/>
      <c r="D702" s="12"/>
      <c r="E702" s="2"/>
      <c r="F702" s="2"/>
      <c r="G702" s="12"/>
    </row>
    <row r="703" spans="1:7" x14ac:dyDescent="0.3">
      <c r="A703" s="2"/>
      <c r="B703" s="2"/>
      <c r="C703" s="2"/>
      <c r="D703" s="12"/>
      <c r="E703" s="2"/>
      <c r="F703" s="2"/>
      <c r="G703" s="12"/>
    </row>
    <row r="704" spans="1:7" x14ac:dyDescent="0.3">
      <c r="A704" s="2"/>
      <c r="B704" s="2"/>
      <c r="C704" s="2"/>
      <c r="D704" s="12"/>
      <c r="E704" s="2"/>
      <c r="F704" s="2"/>
      <c r="G704" s="12"/>
    </row>
    <row r="705" spans="1:7" x14ac:dyDescent="0.3">
      <c r="A705" s="2"/>
      <c r="B705" s="2"/>
      <c r="C705" s="2"/>
      <c r="D705" s="12"/>
      <c r="E705" s="2"/>
      <c r="F705" s="2"/>
      <c r="G705" s="12"/>
    </row>
    <row r="706" spans="1:7" x14ac:dyDescent="0.3">
      <c r="A706" s="2"/>
      <c r="B706" s="2"/>
      <c r="C706" s="2"/>
      <c r="D706" s="12"/>
      <c r="E706" s="2"/>
      <c r="F706" s="2"/>
      <c r="G706" s="12"/>
    </row>
    <row r="707" spans="1:7" x14ac:dyDescent="0.3">
      <c r="A707" s="2"/>
      <c r="B707" s="2"/>
      <c r="C707" s="2"/>
      <c r="D707" s="12"/>
      <c r="E707" s="2"/>
      <c r="F707" s="2"/>
    </row>
    <row r="708" spans="1:7" x14ac:dyDescent="0.3">
      <c r="A708" s="2"/>
      <c r="B708" s="2"/>
      <c r="C708" s="2"/>
      <c r="D708" s="12"/>
      <c r="E708" s="2"/>
      <c r="F708" s="2"/>
      <c r="G708" s="12"/>
    </row>
    <row r="709" spans="1:7" x14ac:dyDescent="0.3">
      <c r="A709" s="2"/>
      <c r="B709" s="2"/>
      <c r="C709" s="2"/>
      <c r="D709" s="12"/>
      <c r="E709" s="2"/>
      <c r="F709" s="2"/>
      <c r="G709" s="12"/>
    </row>
    <row r="710" spans="1:7" x14ac:dyDescent="0.3">
      <c r="A710" s="2"/>
      <c r="B710" s="2"/>
      <c r="C710" s="2"/>
      <c r="D710" s="12"/>
      <c r="E710" s="2"/>
      <c r="F710" s="2"/>
      <c r="G710" s="12"/>
    </row>
    <row r="711" spans="1:7" x14ac:dyDescent="0.3">
      <c r="A711" s="2"/>
      <c r="B711" s="2"/>
      <c r="C711" s="2"/>
      <c r="D711" s="12"/>
      <c r="E711" s="2"/>
      <c r="F711" s="2"/>
      <c r="G711" s="12"/>
    </row>
    <row r="712" spans="1:7" x14ac:dyDescent="0.3">
      <c r="A712" s="2"/>
      <c r="B712" s="2"/>
      <c r="C712" s="2"/>
      <c r="D712" s="12"/>
      <c r="E712" s="2"/>
      <c r="F712" s="2"/>
      <c r="G712" s="12"/>
    </row>
    <row r="713" spans="1:7" x14ac:dyDescent="0.3">
      <c r="A713" s="2"/>
      <c r="B713" s="2"/>
      <c r="C713" s="2"/>
      <c r="D713" s="12"/>
      <c r="E713" s="2"/>
      <c r="F713" s="2"/>
    </row>
    <row r="714" spans="1:7" x14ac:dyDescent="0.3">
      <c r="A714" s="2"/>
      <c r="B714" s="2"/>
      <c r="C714" s="2"/>
      <c r="D714" s="12"/>
      <c r="E714" s="2"/>
      <c r="F714" s="2"/>
      <c r="G714" s="12"/>
    </row>
    <row r="715" spans="1:7" x14ac:dyDescent="0.3">
      <c r="A715" s="2"/>
      <c r="B715" s="2"/>
      <c r="C715" s="2"/>
      <c r="D715" s="12"/>
      <c r="E715" s="2"/>
      <c r="F715" s="2"/>
    </row>
    <row r="716" spans="1:7" x14ac:dyDescent="0.3">
      <c r="A716" s="2"/>
      <c r="B716" s="2"/>
      <c r="C716" s="2"/>
      <c r="D716" s="12"/>
      <c r="E716" s="2"/>
      <c r="F716" s="2"/>
      <c r="G716" s="12"/>
    </row>
    <row r="717" spans="1:7" x14ac:dyDescent="0.3">
      <c r="A717" s="2"/>
      <c r="B717" s="2"/>
      <c r="C717" s="2"/>
      <c r="D717" s="12"/>
      <c r="E717" s="2"/>
      <c r="F717" s="2"/>
    </row>
    <row r="718" spans="1:7" x14ac:dyDescent="0.3">
      <c r="A718" s="2"/>
      <c r="B718" s="2"/>
      <c r="C718" s="2"/>
      <c r="D718" s="12"/>
      <c r="E718" s="2"/>
      <c r="F718" s="2"/>
    </row>
    <row r="719" spans="1:7" x14ac:dyDescent="0.3">
      <c r="A719" s="2"/>
      <c r="B719" s="2"/>
      <c r="C719" s="2"/>
      <c r="D719" s="12"/>
      <c r="E719" s="2"/>
      <c r="F719" s="2"/>
    </row>
    <row r="720" spans="1:7" x14ac:dyDescent="0.3">
      <c r="A720" s="2"/>
      <c r="B720" s="2"/>
      <c r="C720" s="2"/>
      <c r="D720" s="12"/>
      <c r="E720" s="2"/>
      <c r="F720" s="2"/>
      <c r="G720" s="12"/>
    </row>
    <row r="721" spans="1:7" x14ac:dyDescent="0.3">
      <c r="A721" s="2"/>
      <c r="B721" s="2"/>
      <c r="C721" s="2"/>
      <c r="D721" s="12"/>
      <c r="E721" s="2"/>
      <c r="F721" s="2"/>
      <c r="G721" s="12"/>
    </row>
    <row r="722" spans="1:7" x14ac:dyDescent="0.3">
      <c r="A722" s="2"/>
      <c r="B722" s="2"/>
      <c r="C722" s="2"/>
      <c r="D722" s="12"/>
      <c r="E722" s="2"/>
      <c r="F722" s="2"/>
      <c r="G722" s="12"/>
    </row>
    <row r="723" spans="1:7" x14ac:dyDescent="0.3">
      <c r="A723" s="2"/>
      <c r="B723" s="2"/>
      <c r="C723" s="2"/>
      <c r="D723" s="12"/>
      <c r="E723" s="2"/>
      <c r="F723" s="2"/>
    </row>
    <row r="724" spans="1:7" x14ac:dyDescent="0.3">
      <c r="A724" s="2"/>
      <c r="B724" s="2"/>
      <c r="C724" s="2"/>
      <c r="D724" s="12"/>
      <c r="E724" s="2"/>
      <c r="F724" s="2"/>
      <c r="G724" s="12"/>
    </row>
    <row r="725" spans="1:7" x14ac:dyDescent="0.3">
      <c r="A725" s="2"/>
      <c r="B725" s="2"/>
      <c r="C725" s="2"/>
      <c r="D725" s="12"/>
      <c r="E725" s="2"/>
      <c r="F725" s="2"/>
    </row>
    <row r="726" spans="1:7" x14ac:dyDescent="0.3">
      <c r="A726" s="2"/>
      <c r="B726" s="2"/>
      <c r="C726" s="2"/>
      <c r="D726" s="12"/>
      <c r="E726" s="2"/>
      <c r="F726" s="2"/>
    </row>
    <row r="727" spans="1:7" x14ac:dyDescent="0.3">
      <c r="A727" s="2"/>
      <c r="B727" s="2"/>
      <c r="C727" s="2"/>
      <c r="D727" s="12"/>
      <c r="E727" s="2"/>
      <c r="F727" s="2"/>
      <c r="G727" s="12"/>
    </row>
    <row r="728" spans="1:7" x14ac:dyDescent="0.3">
      <c r="A728" s="2"/>
      <c r="B728" s="2"/>
      <c r="C728" s="2"/>
      <c r="D728" s="12"/>
      <c r="E728" s="2"/>
      <c r="F728" s="2"/>
      <c r="G728" s="12"/>
    </row>
    <row r="729" spans="1:7" x14ac:dyDescent="0.3">
      <c r="A729" s="2"/>
      <c r="B729" s="2"/>
      <c r="C729" s="2"/>
      <c r="D729" s="12"/>
      <c r="E729" s="2"/>
      <c r="F729" s="2"/>
    </row>
    <row r="730" spans="1:7" x14ac:dyDescent="0.3">
      <c r="A730" s="2"/>
      <c r="B730" s="2"/>
      <c r="C730" s="2"/>
      <c r="D730" s="12"/>
      <c r="E730" s="2"/>
      <c r="F730" s="2"/>
      <c r="G730" s="12"/>
    </row>
    <row r="731" spans="1:7" x14ac:dyDescent="0.3">
      <c r="A731" s="2"/>
      <c r="B731" s="2"/>
      <c r="C731" s="2"/>
      <c r="D731" s="12"/>
      <c r="E731" s="2"/>
      <c r="F731" s="2"/>
      <c r="G731" s="12"/>
    </row>
    <row r="732" spans="1:7" x14ac:dyDescent="0.3">
      <c r="A732" s="2"/>
      <c r="B732" s="2"/>
      <c r="C732" s="2"/>
      <c r="D732" s="12"/>
      <c r="E732" s="2"/>
      <c r="F732" s="2"/>
    </row>
    <row r="733" spans="1:7" x14ac:dyDescent="0.3">
      <c r="A733" s="2"/>
      <c r="B733" s="2"/>
      <c r="C733" s="2"/>
      <c r="D733" s="12"/>
      <c r="E733" s="2"/>
      <c r="F733" s="2"/>
      <c r="G733" s="12"/>
    </row>
    <row r="734" spans="1:7" x14ac:dyDescent="0.3">
      <c r="A734" s="2"/>
      <c r="B734" s="2"/>
      <c r="C734" s="2"/>
      <c r="D734" s="12"/>
      <c r="E734" s="2"/>
      <c r="F734" s="2"/>
      <c r="G734" s="12"/>
    </row>
    <row r="735" spans="1:7" x14ac:dyDescent="0.3">
      <c r="A735" s="2"/>
      <c r="B735" s="2"/>
      <c r="C735" s="2"/>
      <c r="D735" s="12"/>
      <c r="E735" s="2"/>
      <c r="F735" s="2"/>
      <c r="G735" s="12"/>
    </row>
    <row r="736" spans="1:7" x14ac:dyDescent="0.3">
      <c r="A736" s="2"/>
      <c r="B736" s="2"/>
      <c r="C736" s="2"/>
      <c r="D736" s="12"/>
      <c r="E736" s="2"/>
      <c r="F736" s="2"/>
      <c r="G736" s="12"/>
    </row>
    <row r="737" spans="1:7" x14ac:dyDescent="0.3">
      <c r="A737" s="2"/>
      <c r="B737" s="2"/>
      <c r="C737" s="2"/>
      <c r="D737" s="12"/>
      <c r="E737" s="2"/>
      <c r="F737" s="2"/>
      <c r="G737" s="12"/>
    </row>
    <row r="738" spans="1:7" x14ac:dyDescent="0.3">
      <c r="A738" s="2"/>
      <c r="B738" s="2"/>
      <c r="C738" s="2"/>
      <c r="D738" s="12"/>
      <c r="E738" s="2"/>
      <c r="F738" s="2"/>
      <c r="G738" s="12"/>
    </row>
    <row r="739" spans="1:7" x14ac:dyDescent="0.3">
      <c r="A739" s="2"/>
      <c r="B739" s="2"/>
      <c r="C739" s="2"/>
      <c r="D739" s="12"/>
      <c r="E739" s="2"/>
      <c r="F739" s="2"/>
    </row>
    <row r="740" spans="1:7" x14ac:dyDescent="0.3">
      <c r="A740" s="2"/>
      <c r="B740" s="2"/>
      <c r="C740" s="2"/>
      <c r="D740" s="12"/>
      <c r="E740" s="2"/>
      <c r="F740" s="2"/>
      <c r="G740" s="12"/>
    </row>
    <row r="741" spans="1:7" x14ac:dyDescent="0.3">
      <c r="A741" s="2"/>
      <c r="B741" s="2"/>
      <c r="C741" s="2"/>
      <c r="D741" s="12"/>
      <c r="E741" s="2"/>
      <c r="F741" s="2"/>
    </row>
    <row r="742" spans="1:7" x14ac:dyDescent="0.3">
      <c r="A742" s="2"/>
      <c r="B742" s="2"/>
      <c r="C742" s="2"/>
      <c r="D742" s="12"/>
      <c r="E742" s="2"/>
      <c r="F742" s="2"/>
      <c r="G742" s="12"/>
    </row>
    <row r="743" spans="1:7" x14ac:dyDescent="0.3">
      <c r="A743" s="2"/>
      <c r="B743" s="2"/>
      <c r="C743" s="2"/>
      <c r="D743" s="12"/>
      <c r="E743" s="2"/>
      <c r="F743" s="2"/>
      <c r="G743" s="12"/>
    </row>
    <row r="744" spans="1:7" x14ac:dyDescent="0.3">
      <c r="A744" s="2"/>
      <c r="B744" s="2"/>
      <c r="C744" s="2"/>
      <c r="D744" s="12"/>
      <c r="E744" s="2"/>
      <c r="F744" s="2"/>
    </row>
    <row r="745" spans="1:7" x14ac:dyDescent="0.3">
      <c r="A745" s="2"/>
      <c r="B745" s="2"/>
      <c r="C745" s="2"/>
      <c r="D745" s="12"/>
      <c r="E745" s="2"/>
      <c r="F745" s="2"/>
      <c r="G745" s="12"/>
    </row>
    <row r="746" spans="1:7" x14ac:dyDescent="0.3">
      <c r="A746" s="2"/>
      <c r="B746" s="2"/>
      <c r="C746" s="2"/>
      <c r="D746" s="12"/>
      <c r="E746" s="2"/>
      <c r="F746" s="2"/>
    </row>
    <row r="747" spans="1:7" x14ac:dyDescent="0.3">
      <c r="A747" s="2"/>
      <c r="B747" s="2"/>
      <c r="C747" s="2"/>
      <c r="D747" s="12"/>
      <c r="E747" s="2"/>
      <c r="F747" s="2"/>
      <c r="G747" s="12"/>
    </row>
    <row r="748" spans="1:7" x14ac:dyDescent="0.3">
      <c r="A748" s="2"/>
      <c r="B748" s="2"/>
      <c r="C748" s="2"/>
      <c r="D748" s="12"/>
      <c r="E748" s="2"/>
      <c r="F748" s="2"/>
      <c r="G748" s="12"/>
    </row>
    <row r="749" spans="1:7" x14ac:dyDescent="0.3">
      <c r="A749" s="2"/>
      <c r="B749" s="2"/>
      <c r="C749" s="2"/>
      <c r="D749" s="12"/>
      <c r="E749" s="2"/>
      <c r="F749" s="2"/>
      <c r="G749" s="12"/>
    </row>
    <row r="750" spans="1:7" x14ac:dyDescent="0.3">
      <c r="A750" s="2"/>
      <c r="B750" s="2"/>
      <c r="C750" s="2"/>
      <c r="D750" s="12"/>
      <c r="E750" s="2"/>
      <c r="F750" s="2"/>
    </row>
    <row r="751" spans="1:7" x14ac:dyDescent="0.3">
      <c r="A751" s="2"/>
      <c r="B751" s="2"/>
      <c r="C751" s="2"/>
      <c r="D751" s="12"/>
      <c r="E751" s="2"/>
      <c r="F751" s="2"/>
      <c r="G751" s="12"/>
    </row>
    <row r="752" spans="1:7" x14ac:dyDescent="0.3">
      <c r="A752" s="2"/>
      <c r="B752" s="2"/>
      <c r="C752" s="2"/>
      <c r="D752" s="12"/>
      <c r="E752" s="2"/>
      <c r="F752" s="2"/>
      <c r="G752" s="12"/>
    </row>
    <row r="753" spans="1:7" x14ac:dyDescent="0.3">
      <c r="A753" s="2"/>
      <c r="B753" s="2"/>
      <c r="C753" s="2"/>
      <c r="D753" s="12"/>
      <c r="E753" s="2"/>
      <c r="F753" s="2"/>
    </row>
    <row r="754" spans="1:7" x14ac:dyDescent="0.3">
      <c r="A754" s="2"/>
      <c r="B754" s="2"/>
      <c r="C754" s="2"/>
      <c r="D754" s="12"/>
      <c r="E754" s="2"/>
      <c r="F754" s="2"/>
      <c r="G754" s="12"/>
    </row>
    <row r="755" spans="1:7" x14ac:dyDescent="0.3">
      <c r="A755" s="2"/>
      <c r="B755" s="2"/>
      <c r="C755" s="2"/>
      <c r="D755" s="12"/>
      <c r="E755" s="2"/>
      <c r="F755" s="2"/>
      <c r="G755" s="12"/>
    </row>
    <row r="756" spans="1:7" x14ac:dyDescent="0.3">
      <c r="A756" s="2"/>
      <c r="B756" s="2"/>
      <c r="C756" s="2"/>
      <c r="D756" s="12"/>
      <c r="E756" s="2"/>
      <c r="F756" s="2"/>
      <c r="G756" s="12"/>
    </row>
    <row r="757" spans="1:7" x14ac:dyDescent="0.3">
      <c r="A757" s="2"/>
      <c r="B757" s="2"/>
      <c r="C757" s="2"/>
      <c r="D757" s="12"/>
      <c r="E757" s="2"/>
      <c r="F757" s="2"/>
      <c r="G757" s="12"/>
    </row>
    <row r="758" spans="1:7" x14ac:dyDescent="0.3">
      <c r="A758" s="2"/>
      <c r="B758" s="2"/>
      <c r="C758" s="2"/>
      <c r="D758" s="12"/>
      <c r="E758" s="2"/>
      <c r="F758" s="2"/>
      <c r="G758" s="12"/>
    </row>
    <row r="759" spans="1:7" x14ac:dyDescent="0.3">
      <c r="A759" s="2"/>
      <c r="B759" s="2"/>
      <c r="C759" s="2"/>
      <c r="D759" s="12"/>
      <c r="E759" s="2"/>
      <c r="F759" s="2"/>
      <c r="G759" s="12"/>
    </row>
    <row r="760" spans="1:7" x14ac:dyDescent="0.3">
      <c r="A760" s="2"/>
      <c r="B760" s="2"/>
      <c r="C760" s="2"/>
      <c r="D760" s="12"/>
      <c r="E760" s="2"/>
      <c r="F760" s="2"/>
    </row>
    <row r="761" spans="1:7" x14ac:dyDescent="0.3">
      <c r="A761" s="2"/>
      <c r="B761" s="2"/>
      <c r="C761" s="2"/>
      <c r="D761" s="12"/>
      <c r="E761" s="2"/>
      <c r="F761" s="2"/>
      <c r="G761" s="12"/>
    </row>
    <row r="762" spans="1:7" x14ac:dyDescent="0.3">
      <c r="A762" s="2"/>
      <c r="B762" s="2"/>
      <c r="C762" s="2"/>
      <c r="D762" s="12"/>
      <c r="E762" s="2"/>
      <c r="F762" s="2"/>
      <c r="G762" s="12"/>
    </row>
    <row r="763" spans="1:7" x14ac:dyDescent="0.3">
      <c r="A763" s="2"/>
      <c r="B763" s="2"/>
      <c r="C763" s="2"/>
      <c r="D763" s="12"/>
      <c r="E763" s="2"/>
      <c r="F763" s="2"/>
    </row>
    <row r="764" spans="1:7" x14ac:dyDescent="0.3">
      <c r="A764" s="2"/>
      <c r="B764" s="2"/>
      <c r="C764" s="2"/>
      <c r="D764" s="12"/>
      <c r="E764" s="2"/>
      <c r="F764" s="2"/>
      <c r="G764" s="12"/>
    </row>
    <row r="765" spans="1:7" x14ac:dyDescent="0.3">
      <c r="A765" s="2"/>
      <c r="B765" s="2"/>
      <c r="C765" s="2"/>
      <c r="D765" s="12"/>
      <c r="E765" s="2"/>
      <c r="F765" s="2"/>
      <c r="G765" s="12"/>
    </row>
    <row r="766" spans="1:7" x14ac:dyDescent="0.3">
      <c r="A766" s="2"/>
      <c r="B766" s="2"/>
      <c r="C766" s="2"/>
      <c r="D766" s="12"/>
      <c r="E766" s="2"/>
      <c r="F766" s="2"/>
      <c r="G766" s="12"/>
    </row>
    <row r="767" spans="1:7" x14ac:dyDescent="0.3">
      <c r="A767" s="2"/>
      <c r="B767" s="2"/>
      <c r="C767" s="2"/>
      <c r="D767" s="12"/>
      <c r="E767" s="2"/>
      <c r="F767" s="2"/>
      <c r="G767" s="12"/>
    </row>
    <row r="768" spans="1:7" x14ac:dyDescent="0.3">
      <c r="A768" s="2"/>
      <c r="B768" s="2"/>
      <c r="C768" s="2"/>
      <c r="D768" s="12"/>
      <c r="E768" s="2"/>
      <c r="F768" s="2"/>
    </row>
    <row r="769" spans="1:7" x14ac:dyDescent="0.3">
      <c r="A769" s="2"/>
      <c r="B769" s="2"/>
      <c r="C769" s="2"/>
      <c r="D769" s="12"/>
      <c r="E769" s="2"/>
      <c r="F769" s="2"/>
    </row>
    <row r="770" spans="1:7" x14ac:dyDescent="0.3">
      <c r="A770" s="2"/>
      <c r="B770" s="2"/>
      <c r="C770" s="2"/>
      <c r="D770" s="12"/>
      <c r="E770" s="2"/>
      <c r="F770" s="2"/>
      <c r="G770" s="12"/>
    </row>
    <row r="771" spans="1:7" x14ac:dyDescent="0.3">
      <c r="A771" s="2"/>
      <c r="B771" s="2"/>
      <c r="C771" s="2"/>
      <c r="D771" s="12"/>
      <c r="E771" s="2"/>
      <c r="F771" s="2"/>
      <c r="G771" s="12"/>
    </row>
    <row r="772" spans="1:7" x14ac:dyDescent="0.3">
      <c r="A772" s="2"/>
      <c r="B772" s="2"/>
      <c r="C772" s="2"/>
      <c r="D772" s="12"/>
      <c r="E772" s="2"/>
      <c r="F772" s="2"/>
      <c r="G772" s="12"/>
    </row>
    <row r="773" spans="1:7" x14ac:dyDescent="0.3">
      <c r="A773" s="2"/>
      <c r="B773" s="2"/>
      <c r="C773" s="2"/>
      <c r="D773" s="12"/>
      <c r="E773" s="2"/>
      <c r="F773" s="2"/>
    </row>
    <row r="774" spans="1:7" x14ac:dyDescent="0.3">
      <c r="A774" s="2"/>
      <c r="B774" s="2"/>
      <c r="C774" s="2"/>
      <c r="D774" s="12"/>
      <c r="E774" s="2"/>
      <c r="F774" s="2"/>
    </row>
    <row r="775" spans="1:7" x14ac:dyDescent="0.3">
      <c r="A775" s="2"/>
      <c r="B775" s="2"/>
      <c r="C775" s="2"/>
      <c r="D775" s="12"/>
      <c r="E775" s="2"/>
      <c r="F775" s="2"/>
      <c r="G775" s="12"/>
    </row>
    <row r="776" spans="1:7" x14ac:dyDescent="0.3">
      <c r="A776" s="2"/>
      <c r="B776" s="2"/>
      <c r="C776" s="2"/>
      <c r="D776" s="12"/>
      <c r="E776" s="2"/>
      <c r="F776" s="2"/>
      <c r="G776" s="12"/>
    </row>
    <row r="777" spans="1:7" x14ac:dyDescent="0.3">
      <c r="A777" s="2"/>
      <c r="B777" s="2"/>
      <c r="C777" s="2"/>
      <c r="D777" s="12"/>
      <c r="E777" s="2"/>
      <c r="F777" s="2"/>
    </row>
    <row r="778" spans="1:7" x14ac:dyDescent="0.3">
      <c r="A778" s="2"/>
      <c r="B778" s="2"/>
      <c r="C778" s="2"/>
      <c r="D778" s="12"/>
      <c r="E778" s="2"/>
      <c r="F778" s="2"/>
      <c r="G778" s="12"/>
    </row>
    <row r="779" spans="1:7" x14ac:dyDescent="0.3">
      <c r="A779" s="2"/>
      <c r="B779" s="2"/>
      <c r="C779" s="2"/>
      <c r="D779" s="12"/>
      <c r="E779" s="2"/>
      <c r="F779" s="2"/>
      <c r="G779" s="12"/>
    </row>
    <row r="780" spans="1:7" x14ac:dyDescent="0.3">
      <c r="A780" s="2"/>
      <c r="B780" s="2"/>
      <c r="C780" s="2"/>
      <c r="D780" s="12"/>
      <c r="E780" s="2"/>
      <c r="F780" s="2"/>
      <c r="G780" s="12"/>
    </row>
    <row r="781" spans="1:7" x14ac:dyDescent="0.3">
      <c r="A781" s="2"/>
      <c r="B781" s="2"/>
      <c r="C781" s="2"/>
      <c r="D781" s="12"/>
      <c r="E781" s="2"/>
      <c r="F781" s="2"/>
      <c r="G781" s="12"/>
    </row>
    <row r="782" spans="1:7" x14ac:dyDescent="0.3">
      <c r="A782" s="2"/>
      <c r="B782" s="2"/>
      <c r="C782" s="2"/>
      <c r="D782" s="12"/>
      <c r="E782" s="2"/>
      <c r="F782" s="2"/>
      <c r="G782" s="12"/>
    </row>
    <row r="783" spans="1:7" x14ac:dyDescent="0.3">
      <c r="A783" s="2"/>
      <c r="B783" s="2"/>
      <c r="C783" s="2"/>
      <c r="D783" s="12"/>
      <c r="E783" s="2"/>
      <c r="F783" s="2"/>
      <c r="G783" s="12"/>
    </row>
    <row r="784" spans="1:7" x14ac:dyDescent="0.3">
      <c r="A784" s="2"/>
      <c r="B784" s="2"/>
      <c r="C784" s="2"/>
      <c r="D784" s="12"/>
      <c r="E784" s="2"/>
      <c r="F784" s="2"/>
    </row>
    <row r="785" spans="1:7" x14ac:dyDescent="0.3">
      <c r="A785" s="2"/>
      <c r="B785" s="2"/>
      <c r="C785" s="2"/>
      <c r="D785" s="12"/>
      <c r="E785" s="2"/>
      <c r="F785" s="2"/>
      <c r="G785" s="12"/>
    </row>
    <row r="786" spans="1:7" x14ac:dyDescent="0.3">
      <c r="A786" s="2"/>
      <c r="B786" s="2"/>
      <c r="C786" s="2"/>
      <c r="D786" s="12"/>
      <c r="E786" s="2"/>
      <c r="F786" s="2"/>
      <c r="G786" s="12"/>
    </row>
    <row r="787" spans="1:7" x14ac:dyDescent="0.3">
      <c r="A787" s="2"/>
      <c r="B787" s="2"/>
      <c r="C787" s="2"/>
      <c r="D787" s="12"/>
      <c r="E787" s="2"/>
      <c r="F787" s="2"/>
      <c r="G787" s="12"/>
    </row>
    <row r="788" spans="1:7" x14ac:dyDescent="0.3">
      <c r="A788" s="2"/>
      <c r="B788" s="2"/>
      <c r="C788" s="2"/>
      <c r="D788" s="12"/>
      <c r="E788" s="2"/>
      <c r="F788" s="2"/>
    </row>
    <row r="789" spans="1:7" x14ac:dyDescent="0.3">
      <c r="A789" s="2"/>
      <c r="B789" s="2"/>
      <c r="C789" s="2"/>
      <c r="D789" s="12"/>
      <c r="E789" s="2"/>
      <c r="F789" s="2"/>
    </row>
    <row r="790" spans="1:7" x14ac:dyDescent="0.3">
      <c r="A790" s="2"/>
      <c r="B790" s="2"/>
      <c r="C790" s="2"/>
      <c r="D790" s="12"/>
      <c r="E790" s="2"/>
      <c r="F790" s="2"/>
      <c r="G790" s="12"/>
    </row>
    <row r="791" spans="1:7" x14ac:dyDescent="0.3">
      <c r="A791" s="2"/>
      <c r="B791" s="2"/>
      <c r="C791" s="2"/>
      <c r="D791" s="12"/>
      <c r="E791" s="2"/>
      <c r="F791" s="2"/>
    </row>
    <row r="792" spans="1:7" x14ac:dyDescent="0.3">
      <c r="A792" s="2"/>
      <c r="B792" s="2"/>
      <c r="C792" s="2"/>
      <c r="D792" s="12"/>
      <c r="E792" s="2"/>
      <c r="F792" s="2"/>
      <c r="G792" s="12"/>
    </row>
    <row r="793" spans="1:7" x14ac:dyDescent="0.3">
      <c r="A793" s="2"/>
      <c r="B793" s="2"/>
      <c r="C793" s="2"/>
      <c r="D793" s="12"/>
      <c r="E793" s="2"/>
      <c r="F793" s="2"/>
      <c r="G793" s="12"/>
    </row>
    <row r="794" spans="1:7" x14ac:dyDescent="0.3">
      <c r="A794" s="2"/>
      <c r="B794" s="2"/>
      <c r="C794" s="2"/>
      <c r="D794" s="12"/>
      <c r="E794" s="2"/>
      <c r="F794" s="2"/>
      <c r="G794" s="12"/>
    </row>
    <row r="795" spans="1:7" x14ac:dyDescent="0.3">
      <c r="A795" s="2"/>
      <c r="B795" s="2"/>
      <c r="C795" s="2"/>
      <c r="D795" s="12"/>
      <c r="E795" s="2"/>
      <c r="F795" s="2"/>
    </row>
    <row r="796" spans="1:7" x14ac:dyDescent="0.3">
      <c r="A796" s="2"/>
      <c r="B796" s="2"/>
      <c r="C796" s="2"/>
      <c r="D796" s="12"/>
      <c r="E796" s="2"/>
      <c r="F796" s="2"/>
    </row>
    <row r="797" spans="1:7" x14ac:dyDescent="0.3">
      <c r="A797" s="2"/>
      <c r="B797" s="2"/>
      <c r="C797" s="2"/>
      <c r="D797" s="12"/>
      <c r="E797" s="2"/>
      <c r="F797" s="2"/>
      <c r="G797" s="12"/>
    </row>
    <row r="798" spans="1:7" x14ac:dyDescent="0.3">
      <c r="A798" s="2"/>
      <c r="B798" s="2"/>
      <c r="C798" s="2"/>
      <c r="D798" s="12"/>
      <c r="E798" s="2"/>
      <c r="F798" s="2"/>
      <c r="G798" s="12"/>
    </row>
    <row r="799" spans="1:7" x14ac:dyDescent="0.3">
      <c r="A799" s="2"/>
      <c r="B799" s="2"/>
      <c r="C799" s="2"/>
      <c r="D799" s="12"/>
      <c r="E799" s="2"/>
      <c r="F799" s="2"/>
      <c r="G799" s="12"/>
    </row>
    <row r="800" spans="1:7" x14ac:dyDescent="0.3">
      <c r="A800" s="2"/>
      <c r="B800" s="2"/>
      <c r="C800" s="2"/>
      <c r="D800" s="12"/>
      <c r="E800" s="2"/>
      <c r="F800" s="2"/>
    </row>
    <row r="801" spans="1:7" x14ac:dyDescent="0.3">
      <c r="A801" s="2"/>
      <c r="B801" s="2"/>
      <c r="C801" s="2"/>
      <c r="D801" s="12"/>
      <c r="E801" s="2"/>
      <c r="F801" s="2"/>
      <c r="G801" s="12"/>
    </row>
    <row r="802" spans="1:7" x14ac:dyDescent="0.3">
      <c r="A802" s="2"/>
      <c r="B802" s="2"/>
      <c r="C802" s="2"/>
      <c r="D802" s="12"/>
      <c r="E802" s="2"/>
      <c r="F802" s="2"/>
    </row>
    <row r="803" spans="1:7" x14ac:dyDescent="0.3">
      <c r="A803" s="2"/>
      <c r="B803" s="2"/>
      <c r="C803" s="2"/>
      <c r="D803" s="12"/>
      <c r="E803" s="2"/>
      <c r="F803" s="2"/>
      <c r="G803" s="12"/>
    </row>
    <row r="804" spans="1:7" x14ac:dyDescent="0.3">
      <c r="A804" s="2"/>
      <c r="B804" s="2"/>
      <c r="C804" s="2"/>
      <c r="D804" s="12"/>
      <c r="E804" s="2"/>
      <c r="F804" s="2"/>
    </row>
    <row r="805" spans="1:7" x14ac:dyDescent="0.3">
      <c r="A805" s="2"/>
      <c r="B805" s="2"/>
      <c r="C805" s="2"/>
      <c r="D805" s="12"/>
      <c r="E805" s="2"/>
      <c r="F805" s="2"/>
      <c r="G805" s="12"/>
    </row>
    <row r="806" spans="1:7" x14ac:dyDescent="0.3">
      <c r="A806" s="2"/>
      <c r="B806" s="2"/>
      <c r="C806" s="2"/>
      <c r="D806" s="12"/>
      <c r="E806" s="2"/>
      <c r="F806" s="2"/>
    </row>
    <row r="807" spans="1:7" x14ac:dyDescent="0.3">
      <c r="A807" s="2"/>
      <c r="B807" s="2"/>
      <c r="C807" s="2"/>
      <c r="D807" s="12"/>
      <c r="E807" s="2"/>
      <c r="F807" s="2"/>
      <c r="G807" s="12"/>
    </row>
    <row r="808" spans="1:7" x14ac:dyDescent="0.3">
      <c r="A808" s="2"/>
      <c r="B808" s="2"/>
      <c r="C808" s="2"/>
      <c r="D808" s="12"/>
      <c r="E808" s="2"/>
      <c r="F808" s="2"/>
    </row>
    <row r="809" spans="1:7" x14ac:dyDescent="0.3">
      <c r="A809" s="2"/>
      <c r="B809" s="2"/>
      <c r="C809" s="2"/>
      <c r="D809" s="12"/>
      <c r="E809" s="2"/>
      <c r="F809" s="2"/>
      <c r="G809" s="12"/>
    </row>
    <row r="810" spans="1:7" x14ac:dyDescent="0.3">
      <c r="A810" s="2"/>
      <c r="B810" s="2"/>
      <c r="C810" s="2"/>
      <c r="D810" s="12"/>
      <c r="E810" s="2"/>
      <c r="F810" s="2"/>
    </row>
    <row r="811" spans="1:7" x14ac:dyDescent="0.3">
      <c r="A811" s="2"/>
      <c r="B811" s="2"/>
      <c r="C811" s="2"/>
      <c r="D811" s="12"/>
      <c r="E811" s="2"/>
      <c r="F811" s="2"/>
    </row>
    <row r="812" spans="1:7" x14ac:dyDescent="0.3">
      <c r="A812" s="2"/>
      <c r="B812" s="2"/>
      <c r="C812" s="2"/>
      <c r="D812" s="12"/>
      <c r="E812" s="2"/>
      <c r="F812" s="2"/>
      <c r="G812" s="12"/>
    </row>
    <row r="813" spans="1:7" x14ac:dyDescent="0.3">
      <c r="A813" s="2"/>
      <c r="B813" s="2"/>
      <c r="C813" s="2"/>
      <c r="D813" s="12"/>
      <c r="E813" s="2"/>
      <c r="F813" s="2"/>
      <c r="G813" s="12"/>
    </row>
    <row r="814" spans="1:7" x14ac:dyDescent="0.3">
      <c r="A814" s="2"/>
      <c r="B814" s="2"/>
      <c r="C814" s="2"/>
      <c r="D814" s="12"/>
      <c r="E814" s="2"/>
      <c r="F814" s="2"/>
    </row>
    <row r="815" spans="1:7" x14ac:dyDescent="0.3">
      <c r="A815" s="2"/>
      <c r="B815" s="2"/>
      <c r="C815" s="2"/>
      <c r="D815" s="12"/>
      <c r="E815" s="2"/>
      <c r="F815" s="2"/>
      <c r="G815" s="12"/>
    </row>
    <row r="816" spans="1:7" x14ac:dyDescent="0.3">
      <c r="A816" s="2"/>
      <c r="B816" s="2"/>
      <c r="C816" s="2"/>
      <c r="D816" s="12"/>
      <c r="E816" s="2"/>
      <c r="F816" s="2"/>
      <c r="G816" s="12"/>
    </row>
    <row r="817" spans="1:7" x14ac:dyDescent="0.3">
      <c r="A817" s="2"/>
      <c r="B817" s="2"/>
      <c r="C817" s="2"/>
      <c r="D817" s="12"/>
      <c r="E817" s="2"/>
      <c r="F817" s="2"/>
    </row>
    <row r="818" spans="1:7" x14ac:dyDescent="0.3">
      <c r="A818" s="2"/>
      <c r="B818" s="2"/>
      <c r="C818" s="2"/>
      <c r="D818" s="12"/>
      <c r="E818" s="2"/>
      <c r="F818" s="2"/>
    </row>
    <row r="819" spans="1:7" x14ac:dyDescent="0.3">
      <c r="A819" s="2"/>
      <c r="B819" s="2"/>
      <c r="C819" s="2"/>
      <c r="D819" s="12"/>
      <c r="E819" s="2"/>
      <c r="F819" s="2"/>
      <c r="G819" s="12"/>
    </row>
    <row r="820" spans="1:7" x14ac:dyDescent="0.3">
      <c r="A820" s="2"/>
      <c r="B820" s="2"/>
      <c r="C820" s="2"/>
      <c r="D820" s="12"/>
      <c r="E820" s="2"/>
      <c r="F820" s="2"/>
      <c r="G820" s="12"/>
    </row>
    <row r="821" spans="1:7" x14ac:dyDescent="0.3">
      <c r="A821" s="2"/>
      <c r="B821" s="2"/>
      <c r="C821" s="2"/>
      <c r="D821" s="12"/>
      <c r="E821" s="2"/>
      <c r="F821" s="2"/>
      <c r="G821" s="12"/>
    </row>
    <row r="822" spans="1:7" x14ac:dyDescent="0.3">
      <c r="A822" s="2"/>
      <c r="B822" s="2"/>
      <c r="C822" s="2"/>
      <c r="D822" s="12"/>
      <c r="E822" s="2"/>
      <c r="F822" s="2"/>
      <c r="G822" s="12"/>
    </row>
    <row r="823" spans="1:7" x14ac:dyDescent="0.3">
      <c r="A823" s="2"/>
      <c r="B823" s="2"/>
      <c r="C823" s="2"/>
      <c r="D823" s="12"/>
      <c r="E823" s="2"/>
      <c r="F823" s="2"/>
      <c r="G823" s="12"/>
    </row>
    <row r="824" spans="1:7" x14ac:dyDescent="0.3">
      <c r="A824" s="2"/>
      <c r="B824" s="2"/>
      <c r="C824" s="2"/>
      <c r="D824" s="12"/>
      <c r="E824" s="2"/>
      <c r="F824" s="2"/>
    </row>
    <row r="825" spans="1:7" x14ac:dyDescent="0.3">
      <c r="A825" s="2"/>
      <c r="B825" s="2"/>
      <c r="C825" s="2"/>
      <c r="D825" s="12"/>
      <c r="E825" s="2"/>
      <c r="F825" s="2"/>
    </row>
    <row r="826" spans="1:7" x14ac:dyDescent="0.3">
      <c r="A826" s="2"/>
      <c r="B826" s="2"/>
      <c r="C826" s="2"/>
      <c r="D826" s="12"/>
      <c r="E826" s="2"/>
      <c r="F826" s="2"/>
      <c r="G826" s="12"/>
    </row>
    <row r="827" spans="1:7" x14ac:dyDescent="0.3">
      <c r="A827" s="2"/>
      <c r="B827" s="2"/>
      <c r="C827" s="2"/>
      <c r="D827" s="12"/>
      <c r="E827" s="2"/>
      <c r="F827" s="2"/>
      <c r="G827" s="12"/>
    </row>
    <row r="828" spans="1:7" x14ac:dyDescent="0.3">
      <c r="A828" s="2"/>
      <c r="B828" s="2"/>
      <c r="C828" s="2"/>
      <c r="D828" s="12"/>
      <c r="E828" s="2"/>
      <c r="F828" s="2"/>
      <c r="G828" s="12"/>
    </row>
    <row r="829" spans="1:7" x14ac:dyDescent="0.3">
      <c r="A829" s="2"/>
      <c r="B829" s="2"/>
      <c r="C829" s="2"/>
      <c r="D829" s="12"/>
      <c r="E829" s="2"/>
      <c r="F829" s="2"/>
      <c r="G829" s="12"/>
    </row>
    <row r="830" spans="1:7" x14ac:dyDescent="0.3">
      <c r="A830" s="2"/>
      <c r="B830" s="2"/>
      <c r="C830" s="2"/>
      <c r="D830" s="12"/>
      <c r="E830" s="2"/>
      <c r="F830" s="2"/>
      <c r="G830" s="12"/>
    </row>
    <row r="831" spans="1:7" x14ac:dyDescent="0.3">
      <c r="A831" s="2"/>
      <c r="B831" s="2"/>
      <c r="C831" s="2"/>
      <c r="D831" s="12"/>
      <c r="E831" s="2"/>
      <c r="F831" s="2"/>
      <c r="G831" s="12"/>
    </row>
    <row r="832" spans="1:7" x14ac:dyDescent="0.3">
      <c r="A832" s="2"/>
      <c r="B832" s="2"/>
      <c r="C832" s="2"/>
      <c r="D832" s="12"/>
      <c r="E832" s="2"/>
      <c r="F832" s="2"/>
      <c r="G832" s="12"/>
    </row>
    <row r="833" spans="1:7" x14ac:dyDescent="0.3">
      <c r="A833" s="2"/>
      <c r="B833" s="2"/>
      <c r="C833" s="2"/>
      <c r="D833" s="12"/>
      <c r="E833" s="2"/>
      <c r="F833" s="2"/>
      <c r="G833" s="12"/>
    </row>
    <row r="834" spans="1:7" x14ac:dyDescent="0.3">
      <c r="A834" s="2"/>
      <c r="B834" s="2"/>
      <c r="C834" s="2"/>
      <c r="D834" s="12"/>
      <c r="E834" s="2"/>
      <c r="F834" s="2"/>
    </row>
    <row r="835" spans="1:7" x14ac:dyDescent="0.3">
      <c r="A835" s="2"/>
      <c r="B835" s="2"/>
      <c r="C835" s="2"/>
      <c r="D835" s="12"/>
      <c r="E835" s="2"/>
      <c r="F835" s="2"/>
      <c r="G835" s="12"/>
    </row>
    <row r="836" spans="1:7" x14ac:dyDescent="0.3">
      <c r="A836" s="2"/>
      <c r="B836" s="2"/>
      <c r="C836" s="2"/>
      <c r="D836" s="12"/>
      <c r="E836" s="2"/>
      <c r="F836" s="2"/>
    </row>
    <row r="837" spans="1:7" x14ac:dyDescent="0.3">
      <c r="A837" s="2"/>
      <c r="B837" s="2"/>
      <c r="C837" s="2"/>
      <c r="D837" s="12"/>
      <c r="E837" s="2"/>
      <c r="F837" s="2"/>
      <c r="G837" s="12"/>
    </row>
    <row r="838" spans="1:7" x14ac:dyDescent="0.3">
      <c r="A838" s="2"/>
      <c r="B838" s="2"/>
      <c r="C838" s="2"/>
      <c r="D838" s="12"/>
      <c r="E838" s="2"/>
      <c r="F838" s="2"/>
    </row>
    <row r="839" spans="1:7" x14ac:dyDescent="0.3">
      <c r="A839" s="2"/>
      <c r="B839" s="2"/>
      <c r="C839" s="2"/>
      <c r="D839" s="12"/>
      <c r="E839" s="2"/>
      <c r="F839" s="2"/>
    </row>
    <row r="840" spans="1:7" x14ac:dyDescent="0.3">
      <c r="A840" s="2"/>
      <c r="B840" s="2"/>
      <c r="C840" s="2"/>
      <c r="D840" s="12"/>
      <c r="E840" s="2"/>
      <c r="F840" s="2"/>
      <c r="G840" s="12"/>
    </row>
    <row r="841" spans="1:7" x14ac:dyDescent="0.3">
      <c r="A841" s="2"/>
      <c r="B841" s="2"/>
      <c r="C841" s="2"/>
      <c r="D841" s="12"/>
      <c r="E841" s="2"/>
      <c r="F841" s="2"/>
      <c r="G841" s="12"/>
    </row>
    <row r="842" spans="1:7" x14ac:dyDescent="0.3">
      <c r="A842" s="2"/>
      <c r="B842" s="2"/>
      <c r="C842" s="2"/>
      <c r="D842" s="12"/>
      <c r="E842" s="2"/>
      <c r="F842" s="2"/>
    </row>
    <row r="843" spans="1:7" x14ac:dyDescent="0.3">
      <c r="A843" s="2"/>
      <c r="B843" s="2"/>
      <c r="C843" s="2"/>
      <c r="D843" s="12"/>
      <c r="E843" s="2"/>
      <c r="F843" s="2"/>
      <c r="G843" s="12"/>
    </row>
    <row r="844" spans="1:7" x14ac:dyDescent="0.3">
      <c r="A844" s="2"/>
      <c r="B844" s="2"/>
      <c r="C844" s="2"/>
      <c r="D844" s="12"/>
      <c r="E844" s="2"/>
      <c r="F844" s="2"/>
      <c r="G844" s="12"/>
    </row>
    <row r="845" spans="1:7" x14ac:dyDescent="0.3">
      <c r="A845" s="2"/>
      <c r="B845" s="2"/>
      <c r="C845" s="2"/>
      <c r="D845" s="12"/>
      <c r="E845" s="2"/>
      <c r="F845" s="2"/>
      <c r="G845" s="12"/>
    </row>
    <row r="846" spans="1:7" x14ac:dyDescent="0.3">
      <c r="A846" s="2"/>
      <c r="B846" s="2"/>
      <c r="C846" s="2"/>
      <c r="D846" s="12"/>
      <c r="E846" s="2"/>
      <c r="F846" s="2"/>
      <c r="G846" s="12"/>
    </row>
    <row r="847" spans="1:7" x14ac:dyDescent="0.3">
      <c r="A847" s="2"/>
      <c r="B847" s="2"/>
      <c r="C847" s="2"/>
      <c r="D847" s="12"/>
      <c r="E847" s="2"/>
      <c r="F847" s="2"/>
      <c r="G847" s="12"/>
    </row>
    <row r="848" spans="1:7" x14ac:dyDescent="0.3">
      <c r="A848" s="2"/>
      <c r="B848" s="2"/>
      <c r="C848" s="2"/>
      <c r="D848" s="12"/>
      <c r="E848" s="2"/>
      <c r="F848" s="2"/>
      <c r="G848" s="12"/>
    </row>
    <row r="849" spans="1:7" x14ac:dyDescent="0.3">
      <c r="A849" s="2"/>
      <c r="B849" s="2"/>
      <c r="C849" s="2"/>
      <c r="D849" s="12"/>
      <c r="E849" s="2"/>
      <c r="F849" s="2"/>
    </row>
    <row r="850" spans="1:7" x14ac:dyDescent="0.3">
      <c r="A850" s="2"/>
      <c r="B850" s="2"/>
      <c r="C850" s="2"/>
      <c r="D850" s="12"/>
      <c r="E850" s="2"/>
      <c r="F850" s="2"/>
      <c r="G850" s="12"/>
    </row>
    <row r="851" spans="1:7" x14ac:dyDescent="0.3">
      <c r="A851" s="2"/>
      <c r="B851" s="2"/>
      <c r="C851" s="2"/>
      <c r="D851" s="12"/>
      <c r="E851" s="2"/>
      <c r="F851" s="2"/>
      <c r="G851" s="12"/>
    </row>
    <row r="852" spans="1:7" x14ac:dyDescent="0.3">
      <c r="A852" s="2"/>
      <c r="B852" s="2"/>
      <c r="C852" s="2"/>
      <c r="D852" s="12"/>
      <c r="E852" s="2"/>
      <c r="F852" s="2"/>
      <c r="G852" s="12"/>
    </row>
    <row r="853" spans="1:7" x14ac:dyDescent="0.3">
      <c r="A853" s="2"/>
      <c r="B853" s="2"/>
      <c r="C853" s="2"/>
      <c r="D853" s="12"/>
      <c r="E853" s="2"/>
      <c r="F853" s="2"/>
      <c r="G853" s="12"/>
    </row>
    <row r="854" spans="1:7" x14ac:dyDescent="0.3">
      <c r="A854" s="2"/>
      <c r="B854" s="2"/>
      <c r="C854" s="2"/>
      <c r="D854" s="12"/>
      <c r="E854" s="2"/>
      <c r="F854" s="2"/>
      <c r="G854" s="12"/>
    </row>
    <row r="855" spans="1:7" x14ac:dyDescent="0.3">
      <c r="A855" s="2"/>
      <c r="B855" s="2"/>
      <c r="C855" s="2"/>
      <c r="D855" s="12"/>
      <c r="E855" s="2"/>
      <c r="F855" s="2"/>
      <c r="G855" s="12"/>
    </row>
    <row r="856" spans="1:7" x14ac:dyDescent="0.3">
      <c r="A856" s="2"/>
      <c r="B856" s="2"/>
      <c r="C856" s="2"/>
      <c r="D856" s="12"/>
      <c r="E856" s="2"/>
      <c r="F856" s="2"/>
      <c r="G856" s="12"/>
    </row>
    <row r="857" spans="1:7" x14ac:dyDescent="0.3">
      <c r="A857" s="2"/>
      <c r="B857" s="2"/>
      <c r="C857" s="2"/>
      <c r="D857" s="12"/>
      <c r="E857" s="2"/>
      <c r="F857" s="2"/>
      <c r="G857" s="12"/>
    </row>
    <row r="858" spans="1:7" x14ac:dyDescent="0.3">
      <c r="A858" s="2"/>
      <c r="B858" s="2"/>
      <c r="C858" s="2"/>
      <c r="D858" s="12"/>
      <c r="E858" s="2"/>
      <c r="F858" s="2"/>
      <c r="G858" s="12"/>
    </row>
    <row r="859" spans="1:7" x14ac:dyDescent="0.3">
      <c r="A859" s="2"/>
      <c r="B859" s="2"/>
      <c r="C859" s="2"/>
      <c r="D859" s="12"/>
      <c r="E859" s="2"/>
      <c r="F859" s="2"/>
      <c r="G859" s="12"/>
    </row>
    <row r="860" spans="1:7" x14ac:dyDescent="0.3">
      <c r="A860" s="2"/>
      <c r="B860" s="2"/>
      <c r="C860" s="2"/>
      <c r="D860" s="12"/>
      <c r="E860" s="2"/>
      <c r="F860" s="2"/>
      <c r="G860" s="12"/>
    </row>
    <row r="861" spans="1:7" x14ac:dyDescent="0.3">
      <c r="A861" s="2"/>
      <c r="B861" s="2"/>
      <c r="C861" s="2"/>
      <c r="D861" s="12"/>
      <c r="E861" s="2"/>
      <c r="F861" s="2"/>
      <c r="G861" s="12"/>
    </row>
    <row r="862" spans="1:7" x14ac:dyDescent="0.3">
      <c r="A862" s="2"/>
      <c r="B862" s="2"/>
      <c r="C862" s="2"/>
      <c r="D862" s="12"/>
      <c r="E862" s="2"/>
      <c r="F862" s="2"/>
      <c r="G862" s="12"/>
    </row>
    <row r="863" spans="1:7" x14ac:dyDescent="0.3">
      <c r="A863" s="2"/>
      <c r="B863" s="2"/>
      <c r="C863" s="2"/>
      <c r="D863" s="12"/>
      <c r="E863" s="2"/>
      <c r="F863" s="2"/>
      <c r="G863" s="12"/>
    </row>
    <row r="864" spans="1:7" x14ac:dyDescent="0.3">
      <c r="A864" s="2"/>
      <c r="B864" s="2"/>
      <c r="C864" s="2"/>
      <c r="D864" s="12"/>
      <c r="E864" s="2"/>
      <c r="F864" s="2"/>
    </row>
    <row r="865" spans="1:7" x14ac:dyDescent="0.3">
      <c r="A865" s="2"/>
      <c r="B865" s="2"/>
      <c r="C865" s="2"/>
      <c r="D865" s="12"/>
      <c r="E865" s="2"/>
      <c r="F865" s="2"/>
    </row>
    <row r="866" spans="1:7" x14ac:dyDescent="0.3">
      <c r="A866" s="2"/>
      <c r="B866" s="2"/>
      <c r="C866" s="2"/>
      <c r="D866" s="12"/>
      <c r="E866" s="2"/>
      <c r="F866" s="2"/>
      <c r="G866" s="12"/>
    </row>
    <row r="867" spans="1:7" x14ac:dyDescent="0.3">
      <c r="A867" s="2"/>
      <c r="B867" s="2"/>
      <c r="C867" s="2"/>
      <c r="D867" s="12"/>
      <c r="E867" s="2"/>
      <c r="F867" s="2"/>
      <c r="G867" s="12"/>
    </row>
    <row r="868" spans="1:7" x14ac:dyDescent="0.3">
      <c r="A868" s="2"/>
      <c r="B868" s="2"/>
      <c r="C868" s="2"/>
      <c r="D868" s="12"/>
      <c r="E868" s="2"/>
      <c r="F868" s="2"/>
    </row>
    <row r="869" spans="1:7" x14ac:dyDescent="0.3">
      <c r="A869" s="2"/>
      <c r="B869" s="2"/>
      <c r="C869" s="2"/>
      <c r="D869" s="12"/>
      <c r="E869" s="2"/>
      <c r="F869" s="2"/>
      <c r="G869" s="12"/>
    </row>
    <row r="870" spans="1:7" x14ac:dyDescent="0.3">
      <c r="A870" s="2"/>
      <c r="B870" s="2"/>
      <c r="C870" s="2"/>
      <c r="D870" s="12"/>
      <c r="E870" s="2"/>
      <c r="F870" s="2"/>
      <c r="G870" s="12"/>
    </row>
    <row r="871" spans="1:7" x14ac:dyDescent="0.3">
      <c r="A871" s="2"/>
      <c r="B871" s="2"/>
      <c r="C871" s="2"/>
      <c r="D871" s="12"/>
      <c r="E871" s="2"/>
      <c r="F871" s="2"/>
      <c r="G871" s="12"/>
    </row>
    <row r="872" spans="1:7" x14ac:dyDescent="0.3">
      <c r="A872" s="2"/>
      <c r="B872" s="2"/>
      <c r="C872" s="2"/>
      <c r="D872" s="12"/>
      <c r="E872" s="2"/>
      <c r="F872" s="2"/>
      <c r="G872" s="12"/>
    </row>
    <row r="873" spans="1:7" x14ac:dyDescent="0.3">
      <c r="A873" s="2"/>
      <c r="B873" s="2"/>
      <c r="C873" s="2"/>
      <c r="D873" s="12"/>
      <c r="E873" s="2"/>
      <c r="F873" s="2"/>
      <c r="G873" s="12"/>
    </row>
    <row r="874" spans="1:7" x14ac:dyDescent="0.3">
      <c r="A874" s="2"/>
      <c r="B874" s="2"/>
      <c r="C874" s="2"/>
      <c r="D874" s="12"/>
      <c r="E874" s="2"/>
      <c r="F874" s="2"/>
      <c r="G874" s="12"/>
    </row>
    <row r="875" spans="1:7" x14ac:dyDescent="0.3">
      <c r="A875" s="2"/>
      <c r="B875" s="2"/>
      <c r="C875" s="2"/>
      <c r="D875" s="12"/>
      <c r="E875" s="2"/>
      <c r="F875" s="2"/>
    </row>
    <row r="876" spans="1:7" x14ac:dyDescent="0.3">
      <c r="A876" s="2"/>
      <c r="B876" s="2"/>
      <c r="C876" s="2"/>
      <c r="D876" s="12"/>
      <c r="E876" s="2"/>
      <c r="F876" s="2"/>
      <c r="G876" s="12"/>
    </row>
    <row r="877" spans="1:7" x14ac:dyDescent="0.3">
      <c r="A877" s="2"/>
      <c r="B877" s="2"/>
      <c r="C877" s="2"/>
      <c r="D877" s="12"/>
      <c r="E877" s="2"/>
      <c r="F877" s="2"/>
      <c r="G877" s="12"/>
    </row>
    <row r="878" spans="1:7" x14ac:dyDescent="0.3">
      <c r="A878" s="2"/>
      <c r="B878" s="2"/>
      <c r="C878" s="2"/>
      <c r="D878" s="12"/>
      <c r="E878" s="2"/>
      <c r="F878" s="2"/>
      <c r="G878" s="12"/>
    </row>
    <row r="879" spans="1:7" x14ac:dyDescent="0.3">
      <c r="A879" s="2"/>
      <c r="B879" s="2"/>
      <c r="C879" s="2"/>
      <c r="D879" s="12"/>
      <c r="E879" s="2"/>
      <c r="F879" s="2"/>
      <c r="G879" s="12"/>
    </row>
    <row r="880" spans="1:7" x14ac:dyDescent="0.3">
      <c r="A880" s="2"/>
      <c r="B880" s="2"/>
      <c r="C880" s="2"/>
      <c r="D880" s="12"/>
      <c r="E880" s="2"/>
      <c r="F880" s="2"/>
      <c r="G880" s="12"/>
    </row>
    <row r="881" spans="1:7" x14ac:dyDescent="0.3">
      <c r="A881" s="2"/>
      <c r="B881" s="2"/>
      <c r="C881" s="2"/>
      <c r="D881" s="12"/>
      <c r="E881" s="2"/>
      <c r="F881" s="2"/>
      <c r="G881" s="12"/>
    </row>
    <row r="882" spans="1:7" x14ac:dyDescent="0.3">
      <c r="A882" s="2"/>
      <c r="B882" s="2"/>
      <c r="C882" s="2"/>
      <c r="D882" s="12"/>
      <c r="E882" s="2"/>
      <c r="F882" s="2"/>
      <c r="G882" s="12"/>
    </row>
    <row r="883" spans="1:7" x14ac:dyDescent="0.3">
      <c r="A883" s="2"/>
      <c r="B883" s="2"/>
      <c r="C883" s="2"/>
      <c r="D883" s="12"/>
      <c r="E883" s="2"/>
      <c r="F883" s="2"/>
    </row>
    <row r="884" spans="1:7" x14ac:dyDescent="0.3">
      <c r="A884" s="2"/>
      <c r="B884" s="2"/>
      <c r="C884" s="2"/>
      <c r="D884" s="12"/>
      <c r="E884" s="2"/>
      <c r="F884" s="2"/>
    </row>
    <row r="885" spans="1:7" x14ac:dyDescent="0.3">
      <c r="A885" s="2"/>
      <c r="B885" s="2"/>
      <c r="C885" s="2"/>
      <c r="D885" s="12"/>
      <c r="E885" s="2"/>
      <c r="F885" s="2"/>
      <c r="G885" s="12"/>
    </row>
    <row r="886" spans="1:7" x14ac:dyDescent="0.3">
      <c r="A886" s="2"/>
      <c r="B886" s="2"/>
      <c r="C886" s="2"/>
      <c r="D886" s="12"/>
      <c r="E886" s="2"/>
      <c r="F886" s="2"/>
    </row>
    <row r="887" spans="1:7" x14ac:dyDescent="0.3">
      <c r="A887" s="2"/>
      <c r="B887" s="2"/>
      <c r="C887" s="2"/>
      <c r="D887" s="12"/>
      <c r="E887" s="2"/>
      <c r="F887" s="2"/>
    </row>
    <row r="888" spans="1:7" x14ac:dyDescent="0.3">
      <c r="A888" s="2"/>
      <c r="B888" s="2"/>
      <c r="C888" s="2"/>
      <c r="D888" s="12"/>
      <c r="E888" s="2"/>
      <c r="F888" s="2"/>
      <c r="G888" s="12"/>
    </row>
    <row r="889" spans="1:7" x14ac:dyDescent="0.3">
      <c r="A889" s="2"/>
      <c r="B889" s="2"/>
      <c r="C889" s="2"/>
      <c r="D889" s="12"/>
      <c r="E889" s="2"/>
      <c r="F889" s="2"/>
    </row>
    <row r="890" spans="1:7" x14ac:dyDescent="0.3">
      <c r="A890" s="2"/>
      <c r="B890" s="2"/>
      <c r="C890" s="2"/>
      <c r="D890" s="12"/>
      <c r="E890" s="2"/>
      <c r="F890" s="2"/>
    </row>
    <row r="891" spans="1:7" x14ac:dyDescent="0.3">
      <c r="A891" s="2"/>
      <c r="B891" s="2"/>
      <c r="C891" s="2"/>
      <c r="D891" s="12"/>
      <c r="E891" s="2"/>
      <c r="F891" s="2"/>
      <c r="G891" s="12"/>
    </row>
    <row r="892" spans="1:7" x14ac:dyDescent="0.3">
      <c r="A892" s="2"/>
      <c r="B892" s="2"/>
      <c r="C892" s="2"/>
      <c r="D892" s="12"/>
      <c r="E892" s="2"/>
      <c r="F892" s="2"/>
      <c r="G892" s="12"/>
    </row>
    <row r="893" spans="1:7" x14ac:dyDescent="0.3">
      <c r="A893" s="2"/>
      <c r="B893" s="2"/>
      <c r="C893" s="2"/>
      <c r="D893" s="12"/>
      <c r="E893" s="2"/>
      <c r="F893" s="2"/>
    </row>
  </sheetData>
  <pageMargins left="0.75" right="0.75" top="1" bottom="1" header="0.5" footer="0.5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9"/>
  <sheetViews>
    <sheetView topLeftCell="A68" workbookViewId="0">
      <selection activeCell="I81" sqref="I81:J92"/>
    </sheetView>
  </sheetViews>
  <sheetFormatPr defaultRowHeight="14.4" x14ac:dyDescent="0.3"/>
  <cols>
    <col min="1" max="1" width="13.6640625" customWidth="1"/>
    <col min="2" max="2" width="11.6640625" customWidth="1"/>
    <col min="3" max="3" width="10.44140625" customWidth="1"/>
    <col min="4" max="4" width="22.77734375" customWidth="1"/>
    <col min="5" max="5" width="19" customWidth="1"/>
    <col min="6" max="6" width="17.88671875" customWidth="1"/>
    <col min="7" max="7" width="19.44140625" customWidth="1"/>
    <col min="9" max="9" width="17.44140625" customWidth="1"/>
    <col min="10" max="10" width="19.77734375" bestFit="1" customWidth="1"/>
  </cols>
  <sheetData>
    <row r="1" spans="1:10" x14ac:dyDescent="0.3">
      <c r="A1" s="1" t="s">
        <v>1941</v>
      </c>
      <c r="B1" s="1" t="s">
        <v>216</v>
      </c>
      <c r="C1" s="1" t="s">
        <v>0</v>
      </c>
      <c r="D1" s="1" t="s">
        <v>1942</v>
      </c>
      <c r="E1" s="1" t="s">
        <v>1943</v>
      </c>
      <c r="F1" s="1" t="s">
        <v>1944</v>
      </c>
      <c r="G1" s="1" t="s">
        <v>1945</v>
      </c>
    </row>
    <row r="2" spans="1:10" x14ac:dyDescent="0.3">
      <c r="A2" s="2" t="s">
        <v>1946</v>
      </c>
      <c r="B2" s="2" t="s">
        <v>234</v>
      </c>
      <c r="C2" s="2" t="s">
        <v>62</v>
      </c>
      <c r="D2" s="3">
        <v>46107</v>
      </c>
      <c r="E2" s="2">
        <v>4</v>
      </c>
      <c r="F2" s="2" t="s">
        <v>1947</v>
      </c>
      <c r="G2" s="2" t="s">
        <v>1948</v>
      </c>
      <c r="I2" s="9" t="s">
        <v>2079</v>
      </c>
      <c r="J2" s="2" t="s">
        <v>2087</v>
      </c>
    </row>
    <row r="3" spans="1:10" x14ac:dyDescent="0.3">
      <c r="A3" s="2" t="s">
        <v>1949</v>
      </c>
      <c r="B3" s="2" t="s">
        <v>245</v>
      </c>
      <c r="C3" s="2" t="s">
        <v>133</v>
      </c>
      <c r="D3" s="3">
        <v>45699</v>
      </c>
      <c r="E3" s="2">
        <v>4</v>
      </c>
      <c r="F3" s="2" t="s">
        <v>1947</v>
      </c>
      <c r="G3" s="2" t="s">
        <v>1950</v>
      </c>
      <c r="I3" s="2">
        <v>2</v>
      </c>
      <c r="J3" s="2">
        <v>3</v>
      </c>
    </row>
    <row r="4" spans="1:10" x14ac:dyDescent="0.3">
      <c r="A4" s="2" t="s">
        <v>1951</v>
      </c>
      <c r="B4" s="2" t="s">
        <v>247</v>
      </c>
      <c r="C4" s="2" t="s">
        <v>114</v>
      </c>
      <c r="D4" s="3">
        <v>46143</v>
      </c>
      <c r="E4" s="2">
        <v>5</v>
      </c>
      <c r="F4" s="2" t="s">
        <v>1947</v>
      </c>
      <c r="G4" s="2" t="s">
        <v>1952</v>
      </c>
      <c r="I4" s="2">
        <v>3</v>
      </c>
      <c r="J4" s="2">
        <v>13</v>
      </c>
    </row>
    <row r="5" spans="1:10" x14ac:dyDescent="0.3">
      <c r="A5" s="2" t="s">
        <v>1953</v>
      </c>
      <c r="B5" s="2" t="s">
        <v>255</v>
      </c>
      <c r="C5" s="2" t="s">
        <v>145</v>
      </c>
      <c r="D5" s="3">
        <v>46254</v>
      </c>
      <c r="E5" s="2">
        <v>4</v>
      </c>
      <c r="F5" s="2" t="s">
        <v>1947</v>
      </c>
      <c r="G5" s="2" t="s">
        <v>1954</v>
      </c>
      <c r="I5" s="2">
        <v>4</v>
      </c>
      <c r="J5" s="2">
        <v>40</v>
      </c>
    </row>
    <row r="6" spans="1:10" x14ac:dyDescent="0.3">
      <c r="A6" s="2" t="s">
        <v>1955</v>
      </c>
      <c r="B6" s="2" t="s">
        <v>263</v>
      </c>
      <c r="C6" s="2" t="s">
        <v>159</v>
      </c>
      <c r="D6" s="3">
        <v>46316</v>
      </c>
      <c r="E6" s="2">
        <v>5</v>
      </c>
      <c r="F6" s="2" t="s">
        <v>1947</v>
      </c>
      <c r="G6" s="2" t="s">
        <v>1956</v>
      </c>
      <c r="I6" s="2">
        <v>5</v>
      </c>
      <c r="J6" s="2">
        <v>23</v>
      </c>
    </row>
    <row r="7" spans="1:10" x14ac:dyDescent="0.3">
      <c r="A7" s="2" t="s">
        <v>1957</v>
      </c>
      <c r="B7" s="2" t="s">
        <v>271</v>
      </c>
      <c r="C7" s="2" t="s">
        <v>21</v>
      </c>
      <c r="D7" s="3">
        <v>46073</v>
      </c>
      <c r="E7" s="2">
        <v>3</v>
      </c>
      <c r="F7" s="2" t="s">
        <v>1958</v>
      </c>
      <c r="G7" s="2" t="s">
        <v>1954</v>
      </c>
      <c r="I7" s="2" t="s">
        <v>2080</v>
      </c>
      <c r="J7" s="2">
        <v>79</v>
      </c>
    </row>
    <row r="8" spans="1:10" x14ac:dyDescent="0.3">
      <c r="A8" s="2" t="s">
        <v>1959</v>
      </c>
      <c r="B8" s="2" t="s">
        <v>275</v>
      </c>
      <c r="C8" s="2" t="s">
        <v>143</v>
      </c>
      <c r="D8" s="3">
        <v>45863</v>
      </c>
      <c r="E8" s="2">
        <v>3</v>
      </c>
      <c r="F8" s="2" t="s">
        <v>1958</v>
      </c>
      <c r="G8" s="2" t="s">
        <v>1952</v>
      </c>
    </row>
    <row r="9" spans="1:10" x14ac:dyDescent="0.3">
      <c r="A9" s="2" t="s">
        <v>1960</v>
      </c>
      <c r="B9" s="2" t="s">
        <v>281</v>
      </c>
      <c r="C9" s="2" t="s">
        <v>177</v>
      </c>
      <c r="D9" s="3">
        <v>45548</v>
      </c>
      <c r="E9" s="2">
        <v>5</v>
      </c>
      <c r="F9" s="2" t="s">
        <v>1947</v>
      </c>
      <c r="G9" s="2" t="s">
        <v>1950</v>
      </c>
    </row>
    <row r="10" spans="1:10" x14ac:dyDescent="0.3">
      <c r="A10" s="2" t="s">
        <v>1961</v>
      </c>
      <c r="B10" s="2" t="s">
        <v>294</v>
      </c>
      <c r="C10" s="2" t="s">
        <v>94</v>
      </c>
      <c r="D10" s="3">
        <v>45726</v>
      </c>
      <c r="E10" s="2">
        <v>4</v>
      </c>
      <c r="F10" s="2" t="s">
        <v>1947</v>
      </c>
      <c r="G10" s="2" t="s">
        <v>1956</v>
      </c>
    </row>
    <row r="11" spans="1:10" x14ac:dyDescent="0.3">
      <c r="A11" s="2" t="s">
        <v>1962</v>
      </c>
      <c r="B11" s="2" t="s">
        <v>296</v>
      </c>
      <c r="C11" s="2" t="s">
        <v>55</v>
      </c>
      <c r="D11" s="3">
        <v>45795</v>
      </c>
      <c r="E11" s="2">
        <v>4</v>
      </c>
      <c r="F11" s="2" t="s">
        <v>1947</v>
      </c>
      <c r="G11" s="2" t="s">
        <v>1952</v>
      </c>
    </row>
    <row r="12" spans="1:10" x14ac:dyDescent="0.3">
      <c r="A12" s="2" t="s">
        <v>1963</v>
      </c>
      <c r="B12" s="2" t="s">
        <v>302</v>
      </c>
      <c r="C12" s="2" t="s">
        <v>179</v>
      </c>
      <c r="D12" s="3">
        <v>46215</v>
      </c>
      <c r="E12" s="2">
        <v>4</v>
      </c>
      <c r="F12" s="2" t="s">
        <v>1947</v>
      </c>
      <c r="G12" s="2" t="s">
        <v>1956</v>
      </c>
      <c r="I12" t="s">
        <v>2093</v>
      </c>
    </row>
    <row r="13" spans="1:10" x14ac:dyDescent="0.3">
      <c r="A13" s="2" t="s">
        <v>1964</v>
      </c>
      <c r="B13" s="2" t="s">
        <v>314</v>
      </c>
      <c r="C13" s="2" t="s">
        <v>42</v>
      </c>
      <c r="D13" s="3">
        <v>45533</v>
      </c>
      <c r="E13" s="2">
        <v>5</v>
      </c>
      <c r="F13" s="2" t="s">
        <v>1947</v>
      </c>
      <c r="G13" s="2" t="s">
        <v>1956</v>
      </c>
      <c r="I13" s="2">
        <f>COUNTIFS(E2:E80,"&gt;=4")</f>
        <v>63</v>
      </c>
    </row>
    <row r="14" spans="1:10" x14ac:dyDescent="0.3">
      <c r="A14" s="2" t="s">
        <v>1965</v>
      </c>
      <c r="B14" s="2" t="s">
        <v>316</v>
      </c>
      <c r="C14" s="2" t="s">
        <v>133</v>
      </c>
      <c r="D14" s="3">
        <v>46329</v>
      </c>
      <c r="E14" s="2">
        <v>4</v>
      </c>
      <c r="F14" s="2" t="s">
        <v>1947</v>
      </c>
      <c r="G14" s="2" t="s">
        <v>1956</v>
      </c>
    </row>
    <row r="15" spans="1:10" x14ac:dyDescent="0.3">
      <c r="A15" s="2" t="s">
        <v>1966</v>
      </c>
      <c r="B15" s="2" t="s">
        <v>322</v>
      </c>
      <c r="C15" s="2" t="s">
        <v>116</v>
      </c>
      <c r="D15" s="3">
        <v>45771</v>
      </c>
      <c r="E15" s="2">
        <v>4</v>
      </c>
      <c r="F15" s="2" t="s">
        <v>1947</v>
      </c>
      <c r="G15" s="2" t="s">
        <v>1948</v>
      </c>
    </row>
    <row r="16" spans="1:10" x14ac:dyDescent="0.3">
      <c r="A16" s="2" t="s">
        <v>1967</v>
      </c>
      <c r="B16" s="2" t="s">
        <v>328</v>
      </c>
      <c r="C16" s="2" t="s">
        <v>151</v>
      </c>
      <c r="D16" s="3">
        <v>45924</v>
      </c>
      <c r="E16" s="2">
        <v>5</v>
      </c>
      <c r="F16" s="2" t="s">
        <v>1947</v>
      </c>
      <c r="G16" s="2" t="s">
        <v>1948</v>
      </c>
    </row>
    <row r="17" spans="1:7" x14ac:dyDescent="0.3">
      <c r="A17" s="2" t="s">
        <v>1968</v>
      </c>
      <c r="B17" s="2" t="s">
        <v>338</v>
      </c>
      <c r="C17" s="2" t="s">
        <v>157</v>
      </c>
      <c r="D17" s="3">
        <v>46021</v>
      </c>
      <c r="E17" s="2">
        <v>4</v>
      </c>
      <c r="F17" s="2" t="s">
        <v>1947</v>
      </c>
      <c r="G17" s="2" t="s">
        <v>1952</v>
      </c>
    </row>
    <row r="18" spans="1:7" x14ac:dyDescent="0.3">
      <c r="A18" s="2" t="s">
        <v>1969</v>
      </c>
      <c r="B18" s="2" t="s">
        <v>342</v>
      </c>
      <c r="C18" s="2" t="s">
        <v>133</v>
      </c>
      <c r="D18" s="3">
        <v>45592</v>
      </c>
      <c r="E18" s="2">
        <v>4</v>
      </c>
      <c r="F18" s="2" t="s">
        <v>1947</v>
      </c>
      <c r="G18" s="2" t="s">
        <v>1956</v>
      </c>
    </row>
    <row r="19" spans="1:7" x14ac:dyDescent="0.3">
      <c r="A19" s="2" t="s">
        <v>1970</v>
      </c>
      <c r="B19" s="2" t="s">
        <v>344</v>
      </c>
      <c r="C19" s="2" t="s">
        <v>98</v>
      </c>
      <c r="D19" s="3">
        <v>46079</v>
      </c>
      <c r="E19" s="2">
        <v>4</v>
      </c>
      <c r="F19" s="2" t="s">
        <v>1947</v>
      </c>
      <c r="G19" s="2" t="s">
        <v>1948</v>
      </c>
    </row>
    <row r="20" spans="1:7" x14ac:dyDescent="0.3">
      <c r="A20" s="2" t="s">
        <v>1971</v>
      </c>
      <c r="B20" s="2" t="s">
        <v>348</v>
      </c>
      <c r="C20" s="2" t="s">
        <v>83</v>
      </c>
      <c r="D20" s="3">
        <v>45617</v>
      </c>
      <c r="E20" s="2">
        <v>5</v>
      </c>
      <c r="F20" s="2" t="s">
        <v>1947</v>
      </c>
      <c r="G20" s="2" t="s">
        <v>1952</v>
      </c>
    </row>
    <row r="21" spans="1:7" x14ac:dyDescent="0.3">
      <c r="A21" s="2" t="s">
        <v>1972</v>
      </c>
      <c r="B21" s="2" t="s">
        <v>350</v>
      </c>
      <c r="C21" s="2" t="s">
        <v>64</v>
      </c>
      <c r="D21" s="3">
        <v>45786</v>
      </c>
      <c r="E21" s="2">
        <v>5</v>
      </c>
      <c r="F21" s="2" t="s">
        <v>1947</v>
      </c>
      <c r="G21" s="2" t="s">
        <v>1956</v>
      </c>
    </row>
    <row r="22" spans="1:7" x14ac:dyDescent="0.3">
      <c r="A22" s="2" t="s">
        <v>1973</v>
      </c>
      <c r="B22" s="2" t="s">
        <v>354</v>
      </c>
      <c r="C22" s="2" t="s">
        <v>106</v>
      </c>
      <c r="D22" s="3">
        <v>46087</v>
      </c>
      <c r="E22" s="2">
        <v>5</v>
      </c>
      <c r="F22" s="2" t="s">
        <v>1947</v>
      </c>
      <c r="G22" s="2" t="s">
        <v>1952</v>
      </c>
    </row>
    <row r="23" spans="1:7" x14ac:dyDescent="0.3">
      <c r="A23" s="2" t="s">
        <v>1974</v>
      </c>
      <c r="B23" s="2" t="s">
        <v>356</v>
      </c>
      <c r="C23" s="2" t="s">
        <v>40</v>
      </c>
      <c r="D23" s="3">
        <v>45569</v>
      </c>
      <c r="E23" s="2">
        <v>4</v>
      </c>
      <c r="F23" s="2" t="s">
        <v>1947</v>
      </c>
      <c r="G23" s="2" t="s">
        <v>1952</v>
      </c>
    </row>
    <row r="24" spans="1:7" x14ac:dyDescent="0.3">
      <c r="A24" s="2" t="s">
        <v>1975</v>
      </c>
      <c r="B24" s="2" t="s">
        <v>362</v>
      </c>
      <c r="C24" s="2" t="s">
        <v>104</v>
      </c>
      <c r="D24" s="3">
        <v>46183</v>
      </c>
      <c r="E24" s="2">
        <v>3</v>
      </c>
      <c r="F24" s="2" t="s">
        <v>1958</v>
      </c>
      <c r="G24" s="2" t="s">
        <v>1952</v>
      </c>
    </row>
    <row r="25" spans="1:7" x14ac:dyDescent="0.3">
      <c r="A25" s="2" t="s">
        <v>1976</v>
      </c>
      <c r="B25" s="2" t="s">
        <v>366</v>
      </c>
      <c r="C25" s="2" t="s">
        <v>137</v>
      </c>
      <c r="D25" s="3">
        <v>46282</v>
      </c>
      <c r="E25" s="2">
        <v>5</v>
      </c>
      <c r="F25" s="2" t="s">
        <v>1947</v>
      </c>
      <c r="G25" s="2" t="s">
        <v>1956</v>
      </c>
    </row>
    <row r="26" spans="1:7" x14ac:dyDescent="0.3">
      <c r="A26" s="2" t="s">
        <v>1977</v>
      </c>
      <c r="B26" s="2" t="s">
        <v>380</v>
      </c>
      <c r="C26" s="2" t="s">
        <v>62</v>
      </c>
      <c r="D26" s="3">
        <v>45720</v>
      </c>
      <c r="E26" s="2">
        <v>3</v>
      </c>
      <c r="F26" s="2" t="s">
        <v>1958</v>
      </c>
      <c r="G26" s="2" t="s">
        <v>1950</v>
      </c>
    </row>
    <row r="27" spans="1:7" x14ac:dyDescent="0.3">
      <c r="A27" s="2" t="s">
        <v>1978</v>
      </c>
      <c r="B27" s="2" t="s">
        <v>382</v>
      </c>
      <c r="C27" s="2" t="s">
        <v>151</v>
      </c>
      <c r="D27" s="3">
        <v>45692</v>
      </c>
      <c r="E27" s="2">
        <v>4</v>
      </c>
      <c r="F27" s="2" t="s">
        <v>1947</v>
      </c>
      <c r="G27" s="2" t="s">
        <v>1954</v>
      </c>
    </row>
    <row r="28" spans="1:7" x14ac:dyDescent="0.3">
      <c r="A28" s="2" t="s">
        <v>1979</v>
      </c>
      <c r="B28" s="2" t="s">
        <v>386</v>
      </c>
      <c r="C28" s="2" t="s">
        <v>77</v>
      </c>
      <c r="D28" s="3">
        <v>45594</v>
      </c>
      <c r="E28" s="2">
        <v>5</v>
      </c>
      <c r="F28" s="2" t="s">
        <v>1947</v>
      </c>
      <c r="G28" s="2" t="s">
        <v>1950</v>
      </c>
    </row>
    <row r="29" spans="1:7" x14ac:dyDescent="0.3">
      <c r="A29" s="2" t="s">
        <v>1980</v>
      </c>
      <c r="B29" s="2" t="s">
        <v>390</v>
      </c>
      <c r="C29" s="2" t="s">
        <v>173</v>
      </c>
      <c r="D29" s="3">
        <v>45597</v>
      </c>
      <c r="E29" s="2">
        <v>4</v>
      </c>
      <c r="F29" s="2" t="s">
        <v>1947</v>
      </c>
      <c r="G29" s="2" t="s">
        <v>1948</v>
      </c>
    </row>
    <row r="30" spans="1:7" x14ac:dyDescent="0.3">
      <c r="A30" s="2" t="s">
        <v>1981</v>
      </c>
      <c r="B30" s="2" t="s">
        <v>394</v>
      </c>
      <c r="C30" s="2" t="s">
        <v>106</v>
      </c>
      <c r="D30" s="3">
        <v>45754</v>
      </c>
      <c r="E30" s="2">
        <v>3</v>
      </c>
      <c r="F30" s="2" t="s">
        <v>1958</v>
      </c>
      <c r="G30" s="2" t="s">
        <v>1950</v>
      </c>
    </row>
    <row r="31" spans="1:7" x14ac:dyDescent="0.3">
      <c r="A31" s="2" t="s">
        <v>1982</v>
      </c>
      <c r="B31" s="2" t="s">
        <v>396</v>
      </c>
      <c r="C31" s="2" t="s">
        <v>55</v>
      </c>
      <c r="D31" s="3">
        <v>46118</v>
      </c>
      <c r="E31" s="2">
        <v>4</v>
      </c>
      <c r="F31" s="2" t="s">
        <v>1947</v>
      </c>
      <c r="G31" s="2" t="s">
        <v>1956</v>
      </c>
    </row>
    <row r="32" spans="1:7" x14ac:dyDescent="0.3">
      <c r="A32" s="2" t="s">
        <v>1983</v>
      </c>
      <c r="B32" s="2" t="s">
        <v>400</v>
      </c>
      <c r="C32" s="2" t="s">
        <v>149</v>
      </c>
      <c r="D32" s="3">
        <v>45651</v>
      </c>
      <c r="E32" s="2">
        <v>5</v>
      </c>
      <c r="F32" s="2" t="s">
        <v>1947</v>
      </c>
      <c r="G32" s="2" t="s">
        <v>1954</v>
      </c>
    </row>
    <row r="33" spans="1:7" x14ac:dyDescent="0.3">
      <c r="A33" s="2" t="s">
        <v>1984</v>
      </c>
      <c r="B33" s="2" t="s">
        <v>410</v>
      </c>
      <c r="C33" s="2" t="s">
        <v>96</v>
      </c>
      <c r="D33" s="3">
        <v>45770</v>
      </c>
      <c r="E33" s="2">
        <v>4</v>
      </c>
      <c r="F33" s="2" t="s">
        <v>1947</v>
      </c>
      <c r="G33" s="2" t="s">
        <v>1950</v>
      </c>
    </row>
    <row r="34" spans="1:7" x14ac:dyDescent="0.3">
      <c r="A34" s="2" t="s">
        <v>1985</v>
      </c>
      <c r="B34" s="2" t="s">
        <v>424</v>
      </c>
      <c r="C34" s="2" t="s">
        <v>145</v>
      </c>
      <c r="D34" s="3">
        <v>46131</v>
      </c>
      <c r="E34" s="2">
        <v>5</v>
      </c>
      <c r="F34" s="2" t="s">
        <v>1947</v>
      </c>
      <c r="G34" s="2" t="s">
        <v>1956</v>
      </c>
    </row>
    <row r="35" spans="1:7" x14ac:dyDescent="0.3">
      <c r="A35" s="2" t="s">
        <v>1986</v>
      </c>
      <c r="B35" s="2" t="s">
        <v>428</v>
      </c>
      <c r="C35" s="2" t="s">
        <v>149</v>
      </c>
      <c r="D35" s="3">
        <v>45754</v>
      </c>
      <c r="E35" s="2">
        <v>4</v>
      </c>
      <c r="F35" s="2" t="s">
        <v>1947</v>
      </c>
      <c r="G35" s="2" t="s">
        <v>1950</v>
      </c>
    </row>
    <row r="36" spans="1:7" x14ac:dyDescent="0.3">
      <c r="A36" s="2" t="s">
        <v>1987</v>
      </c>
      <c r="B36" s="2" t="s">
        <v>436</v>
      </c>
      <c r="C36" s="2" t="s">
        <v>137</v>
      </c>
      <c r="D36" s="3">
        <v>46175</v>
      </c>
      <c r="E36" s="2">
        <v>4</v>
      </c>
      <c r="F36" s="2" t="s">
        <v>1947</v>
      </c>
      <c r="G36" s="2" t="s">
        <v>1956</v>
      </c>
    </row>
    <row r="37" spans="1:7" x14ac:dyDescent="0.3">
      <c r="A37" s="2" t="s">
        <v>1988</v>
      </c>
      <c r="B37" s="2" t="s">
        <v>438</v>
      </c>
      <c r="C37" s="2" t="s">
        <v>121</v>
      </c>
      <c r="D37" s="3">
        <v>45598</v>
      </c>
      <c r="E37" s="2">
        <v>4</v>
      </c>
      <c r="F37" s="2" t="s">
        <v>1947</v>
      </c>
      <c r="G37" s="2" t="s">
        <v>1952</v>
      </c>
    </row>
    <row r="38" spans="1:7" x14ac:dyDescent="0.3">
      <c r="A38" s="2" t="s">
        <v>1989</v>
      </c>
      <c r="B38" s="2" t="s">
        <v>440</v>
      </c>
      <c r="C38" s="2" t="s">
        <v>42</v>
      </c>
      <c r="D38" s="3">
        <v>45587</v>
      </c>
      <c r="E38" s="2">
        <v>3</v>
      </c>
      <c r="F38" s="2" t="s">
        <v>1958</v>
      </c>
      <c r="G38" s="2" t="s">
        <v>1956</v>
      </c>
    </row>
    <row r="39" spans="1:7" x14ac:dyDescent="0.3">
      <c r="A39" s="2" t="s">
        <v>1990</v>
      </c>
      <c r="B39" s="2" t="s">
        <v>452</v>
      </c>
      <c r="C39" s="2" t="s">
        <v>167</v>
      </c>
      <c r="D39" s="3">
        <v>45571</v>
      </c>
      <c r="E39" s="2">
        <v>4</v>
      </c>
      <c r="F39" s="2" t="s">
        <v>1947</v>
      </c>
      <c r="G39" s="2" t="s">
        <v>1952</v>
      </c>
    </row>
    <row r="40" spans="1:7" x14ac:dyDescent="0.3">
      <c r="A40" s="2" t="s">
        <v>1991</v>
      </c>
      <c r="B40" s="2" t="s">
        <v>458</v>
      </c>
      <c r="C40" s="2" t="s">
        <v>42</v>
      </c>
      <c r="D40" s="3">
        <v>46196</v>
      </c>
      <c r="E40" s="2">
        <v>3</v>
      </c>
      <c r="F40" s="2" t="s">
        <v>1958</v>
      </c>
      <c r="G40" s="2" t="s">
        <v>1952</v>
      </c>
    </row>
    <row r="41" spans="1:7" x14ac:dyDescent="0.3">
      <c r="A41" s="2" t="s">
        <v>1992</v>
      </c>
      <c r="B41" s="2" t="s">
        <v>460</v>
      </c>
      <c r="C41" s="2" t="s">
        <v>50</v>
      </c>
      <c r="D41" s="3">
        <v>45973</v>
      </c>
      <c r="E41" s="2">
        <v>4</v>
      </c>
      <c r="F41" s="2" t="s">
        <v>1947</v>
      </c>
      <c r="G41" s="2" t="s">
        <v>1954</v>
      </c>
    </row>
    <row r="42" spans="1:7" x14ac:dyDescent="0.3">
      <c r="A42" s="2" t="s">
        <v>1993</v>
      </c>
      <c r="B42" s="2" t="s">
        <v>462</v>
      </c>
      <c r="C42" s="2" t="s">
        <v>145</v>
      </c>
      <c r="D42" s="3">
        <v>45434</v>
      </c>
      <c r="E42" s="2">
        <v>3</v>
      </c>
      <c r="F42" s="2" t="s">
        <v>1958</v>
      </c>
      <c r="G42" s="2" t="s">
        <v>1950</v>
      </c>
    </row>
    <row r="43" spans="1:7" x14ac:dyDescent="0.3">
      <c r="A43" s="2" t="s">
        <v>1994</v>
      </c>
      <c r="B43" s="2" t="s">
        <v>464</v>
      </c>
      <c r="C43" s="2" t="s">
        <v>77</v>
      </c>
      <c r="D43" s="3">
        <v>45476</v>
      </c>
      <c r="E43" s="2">
        <v>4</v>
      </c>
      <c r="F43" s="2" t="s">
        <v>1947</v>
      </c>
      <c r="G43" s="2" t="s">
        <v>1950</v>
      </c>
    </row>
    <row r="44" spans="1:7" x14ac:dyDescent="0.3">
      <c r="A44" s="2" t="s">
        <v>1995</v>
      </c>
      <c r="B44" s="2" t="s">
        <v>470</v>
      </c>
      <c r="C44" s="2" t="s">
        <v>90</v>
      </c>
      <c r="D44" s="3">
        <v>46079</v>
      </c>
      <c r="E44" s="2">
        <v>4</v>
      </c>
      <c r="F44" s="2" t="s">
        <v>1947</v>
      </c>
      <c r="G44" s="2" t="s">
        <v>1952</v>
      </c>
    </row>
    <row r="45" spans="1:7" x14ac:dyDescent="0.3">
      <c r="A45" s="2" t="s">
        <v>1996</v>
      </c>
      <c r="B45" s="2" t="s">
        <v>472</v>
      </c>
      <c r="C45" s="2" t="s">
        <v>38</v>
      </c>
      <c r="D45" s="3">
        <v>46114</v>
      </c>
      <c r="E45" s="2">
        <v>5</v>
      </c>
      <c r="F45" s="2" t="s">
        <v>1947</v>
      </c>
      <c r="G45" s="2" t="s">
        <v>1952</v>
      </c>
    </row>
    <row r="46" spans="1:7" x14ac:dyDescent="0.3">
      <c r="A46" s="2" t="s">
        <v>1997</v>
      </c>
      <c r="B46" s="2" t="s">
        <v>474</v>
      </c>
      <c r="C46" s="2" t="s">
        <v>53</v>
      </c>
      <c r="D46" s="3">
        <v>45615</v>
      </c>
      <c r="E46" s="2">
        <v>5</v>
      </c>
      <c r="F46" s="2" t="s">
        <v>1947</v>
      </c>
      <c r="G46" s="2" t="s">
        <v>1948</v>
      </c>
    </row>
    <row r="47" spans="1:7" x14ac:dyDescent="0.3">
      <c r="A47" s="2" t="s">
        <v>1998</v>
      </c>
      <c r="B47" s="2" t="s">
        <v>476</v>
      </c>
      <c r="C47" s="2" t="s">
        <v>169</v>
      </c>
      <c r="D47" s="3">
        <v>46060</v>
      </c>
      <c r="E47" s="2">
        <v>4</v>
      </c>
      <c r="F47" s="2" t="s">
        <v>1947</v>
      </c>
      <c r="G47" s="2" t="s">
        <v>1954</v>
      </c>
    </row>
    <row r="48" spans="1:7" x14ac:dyDescent="0.3">
      <c r="A48" s="2" t="s">
        <v>1999</v>
      </c>
      <c r="B48" s="2" t="s">
        <v>480</v>
      </c>
      <c r="C48" s="2" t="s">
        <v>70</v>
      </c>
      <c r="D48" s="3">
        <v>46103</v>
      </c>
      <c r="E48" s="2">
        <v>4</v>
      </c>
      <c r="F48" s="2" t="s">
        <v>1947</v>
      </c>
      <c r="G48" s="2" t="s">
        <v>1950</v>
      </c>
    </row>
    <row r="49" spans="1:7" x14ac:dyDescent="0.3">
      <c r="A49" s="2" t="s">
        <v>2000</v>
      </c>
      <c r="B49" s="2" t="s">
        <v>482</v>
      </c>
      <c r="C49" s="2" t="s">
        <v>77</v>
      </c>
      <c r="D49" s="3">
        <v>45947</v>
      </c>
      <c r="E49" s="2">
        <v>4</v>
      </c>
      <c r="F49" s="2" t="s">
        <v>1947</v>
      </c>
      <c r="G49" s="2" t="s">
        <v>1948</v>
      </c>
    </row>
    <row r="50" spans="1:7" x14ac:dyDescent="0.3">
      <c r="A50" s="2" t="s">
        <v>2001</v>
      </c>
      <c r="B50" s="2" t="s">
        <v>484</v>
      </c>
      <c r="C50" s="2" t="s">
        <v>30</v>
      </c>
      <c r="D50" s="3">
        <v>45851</v>
      </c>
      <c r="E50" s="2">
        <v>4</v>
      </c>
      <c r="F50" s="2" t="s">
        <v>1947</v>
      </c>
      <c r="G50" s="2" t="s">
        <v>1948</v>
      </c>
    </row>
    <row r="51" spans="1:7" x14ac:dyDescent="0.3">
      <c r="A51" s="2" t="s">
        <v>2002</v>
      </c>
      <c r="B51" s="2" t="s">
        <v>492</v>
      </c>
      <c r="C51" s="2" t="s">
        <v>36</v>
      </c>
      <c r="D51" s="3">
        <v>45375</v>
      </c>
      <c r="E51" s="2">
        <v>5</v>
      </c>
      <c r="F51" s="2" t="s">
        <v>1947</v>
      </c>
      <c r="G51" s="2" t="s">
        <v>1952</v>
      </c>
    </row>
    <row r="52" spans="1:7" x14ac:dyDescent="0.3">
      <c r="A52" s="2" t="s">
        <v>2003</v>
      </c>
      <c r="B52" s="2" t="s">
        <v>498</v>
      </c>
      <c r="C52" s="2" t="s">
        <v>145</v>
      </c>
      <c r="D52" s="3">
        <v>45537</v>
      </c>
      <c r="E52" s="2">
        <v>5</v>
      </c>
      <c r="F52" s="2" t="s">
        <v>1947</v>
      </c>
      <c r="G52" s="2" t="s">
        <v>1954</v>
      </c>
    </row>
    <row r="53" spans="1:7" x14ac:dyDescent="0.3">
      <c r="A53" s="2" t="s">
        <v>2004</v>
      </c>
      <c r="B53" s="2" t="s">
        <v>500</v>
      </c>
      <c r="C53" s="2" t="s">
        <v>104</v>
      </c>
      <c r="D53" s="3">
        <v>45941</v>
      </c>
      <c r="E53" s="2">
        <v>4</v>
      </c>
      <c r="F53" s="2" t="s">
        <v>1947</v>
      </c>
      <c r="G53" s="2" t="s">
        <v>1950</v>
      </c>
    </row>
    <row r="54" spans="1:7" x14ac:dyDescent="0.3">
      <c r="A54" s="2" t="s">
        <v>2005</v>
      </c>
      <c r="B54" s="2" t="s">
        <v>506</v>
      </c>
      <c r="C54" s="2" t="s">
        <v>55</v>
      </c>
      <c r="D54" s="3">
        <v>45860</v>
      </c>
      <c r="E54" s="2">
        <v>5</v>
      </c>
      <c r="F54" s="2" t="s">
        <v>1947</v>
      </c>
      <c r="G54" s="2" t="s">
        <v>1950</v>
      </c>
    </row>
    <row r="55" spans="1:7" x14ac:dyDescent="0.3">
      <c r="A55" s="2" t="s">
        <v>2006</v>
      </c>
      <c r="B55" s="2" t="s">
        <v>508</v>
      </c>
      <c r="C55" s="2" t="s">
        <v>47</v>
      </c>
      <c r="D55" s="3">
        <v>45806</v>
      </c>
      <c r="E55" s="2">
        <v>4</v>
      </c>
      <c r="F55" s="2" t="s">
        <v>1947</v>
      </c>
      <c r="G55" s="2" t="s">
        <v>1948</v>
      </c>
    </row>
    <row r="56" spans="1:7" x14ac:dyDescent="0.3">
      <c r="A56" s="2" t="s">
        <v>2007</v>
      </c>
      <c r="B56" s="2" t="s">
        <v>530</v>
      </c>
      <c r="C56" s="2" t="s">
        <v>50</v>
      </c>
      <c r="D56" s="3">
        <v>45620</v>
      </c>
      <c r="E56" s="2">
        <v>3</v>
      </c>
      <c r="F56" s="2" t="s">
        <v>1958</v>
      </c>
      <c r="G56" s="2" t="s">
        <v>1956</v>
      </c>
    </row>
    <row r="57" spans="1:7" x14ac:dyDescent="0.3">
      <c r="A57" s="2" t="s">
        <v>2008</v>
      </c>
      <c r="B57" s="2" t="s">
        <v>532</v>
      </c>
      <c r="C57" s="2" t="s">
        <v>21</v>
      </c>
      <c r="D57" s="3">
        <v>45600</v>
      </c>
      <c r="E57" s="2">
        <v>5</v>
      </c>
      <c r="F57" s="2" t="s">
        <v>1947</v>
      </c>
      <c r="G57" s="2" t="s">
        <v>1950</v>
      </c>
    </row>
    <row r="58" spans="1:7" x14ac:dyDescent="0.3">
      <c r="A58" s="2" t="s">
        <v>2009</v>
      </c>
      <c r="B58" s="2" t="s">
        <v>534</v>
      </c>
      <c r="C58" s="2" t="s">
        <v>74</v>
      </c>
      <c r="D58" s="3">
        <v>46296</v>
      </c>
      <c r="E58" s="2">
        <v>5</v>
      </c>
      <c r="F58" s="2" t="s">
        <v>1947</v>
      </c>
      <c r="G58" s="2" t="s">
        <v>1950</v>
      </c>
    </row>
    <row r="59" spans="1:7" x14ac:dyDescent="0.3">
      <c r="A59" s="2" t="s">
        <v>2010</v>
      </c>
      <c r="B59" s="2" t="s">
        <v>536</v>
      </c>
      <c r="C59" s="2" t="s">
        <v>44</v>
      </c>
      <c r="D59" s="3">
        <v>45544</v>
      </c>
      <c r="E59" s="2">
        <v>5</v>
      </c>
      <c r="F59" s="2" t="s">
        <v>1947</v>
      </c>
      <c r="G59" s="2" t="s">
        <v>1956</v>
      </c>
    </row>
    <row r="60" spans="1:7" x14ac:dyDescent="0.3">
      <c r="A60" s="2" t="s">
        <v>2011</v>
      </c>
      <c r="B60" s="2" t="s">
        <v>540</v>
      </c>
      <c r="C60" s="2" t="s">
        <v>53</v>
      </c>
      <c r="D60" s="3">
        <v>46192</v>
      </c>
      <c r="E60" s="2">
        <v>2</v>
      </c>
      <c r="F60" s="2" t="s">
        <v>1958</v>
      </c>
      <c r="G60" s="2" t="s">
        <v>1950</v>
      </c>
    </row>
    <row r="61" spans="1:7" x14ac:dyDescent="0.3">
      <c r="A61" s="2" t="s">
        <v>2012</v>
      </c>
      <c r="B61" s="2" t="s">
        <v>550</v>
      </c>
      <c r="C61" s="2" t="s">
        <v>94</v>
      </c>
      <c r="D61" s="3">
        <v>45902</v>
      </c>
      <c r="E61" s="2">
        <v>2</v>
      </c>
      <c r="F61" s="2" t="s">
        <v>1958</v>
      </c>
      <c r="G61" s="2" t="s">
        <v>1956</v>
      </c>
    </row>
    <row r="62" spans="1:7" x14ac:dyDescent="0.3">
      <c r="A62" s="2" t="s">
        <v>2013</v>
      </c>
      <c r="B62" s="2" t="s">
        <v>552</v>
      </c>
      <c r="C62" s="2" t="s">
        <v>86</v>
      </c>
      <c r="D62" s="3">
        <v>45895</v>
      </c>
      <c r="E62" s="2">
        <v>4</v>
      </c>
      <c r="F62" s="2" t="s">
        <v>1947</v>
      </c>
      <c r="G62" s="2" t="s">
        <v>1948</v>
      </c>
    </row>
    <row r="63" spans="1:7" x14ac:dyDescent="0.3">
      <c r="A63" s="2" t="s">
        <v>2014</v>
      </c>
      <c r="B63" s="2" t="s">
        <v>554</v>
      </c>
      <c r="C63" s="2" t="s">
        <v>44</v>
      </c>
      <c r="D63" s="3">
        <v>45866</v>
      </c>
      <c r="E63" s="2">
        <v>3</v>
      </c>
      <c r="F63" s="2" t="s">
        <v>1958</v>
      </c>
      <c r="G63" s="2" t="s">
        <v>1954</v>
      </c>
    </row>
    <row r="64" spans="1:7" x14ac:dyDescent="0.3">
      <c r="A64" s="2" t="s">
        <v>2015</v>
      </c>
      <c r="B64" s="2" t="s">
        <v>556</v>
      </c>
      <c r="C64" s="2" t="s">
        <v>44</v>
      </c>
      <c r="D64" s="3">
        <v>45410</v>
      </c>
      <c r="E64" s="2">
        <v>4</v>
      </c>
      <c r="F64" s="2" t="s">
        <v>1947</v>
      </c>
      <c r="G64" s="2" t="s">
        <v>1950</v>
      </c>
    </row>
    <row r="65" spans="1:7" x14ac:dyDescent="0.3">
      <c r="A65" s="2" t="s">
        <v>2016</v>
      </c>
      <c r="B65" s="2" t="s">
        <v>560</v>
      </c>
      <c r="C65" s="2" t="s">
        <v>90</v>
      </c>
      <c r="D65" s="3">
        <v>45786</v>
      </c>
      <c r="E65" s="2">
        <v>4</v>
      </c>
      <c r="F65" s="2" t="s">
        <v>1947</v>
      </c>
      <c r="G65" s="2" t="s">
        <v>1954</v>
      </c>
    </row>
    <row r="66" spans="1:7" x14ac:dyDescent="0.3">
      <c r="A66" s="2" t="s">
        <v>2017</v>
      </c>
      <c r="B66" s="2" t="s">
        <v>562</v>
      </c>
      <c r="C66" s="2" t="s">
        <v>104</v>
      </c>
      <c r="D66" s="3">
        <v>45876</v>
      </c>
      <c r="E66" s="2">
        <v>4</v>
      </c>
      <c r="F66" s="2" t="s">
        <v>1947</v>
      </c>
      <c r="G66" s="2" t="s">
        <v>1948</v>
      </c>
    </row>
    <row r="67" spans="1:7" x14ac:dyDescent="0.3">
      <c r="A67" s="2" t="s">
        <v>2018</v>
      </c>
      <c r="B67" s="2" t="s">
        <v>566</v>
      </c>
      <c r="C67" s="2" t="s">
        <v>83</v>
      </c>
      <c r="D67" s="3">
        <v>45834</v>
      </c>
      <c r="E67" s="2">
        <v>5</v>
      </c>
      <c r="F67" s="2" t="s">
        <v>1947</v>
      </c>
      <c r="G67" s="2" t="s">
        <v>1950</v>
      </c>
    </row>
    <row r="68" spans="1:7" x14ac:dyDescent="0.3">
      <c r="A68" s="2" t="s">
        <v>2019</v>
      </c>
      <c r="B68" s="2" t="s">
        <v>580</v>
      </c>
      <c r="C68" s="2" t="s">
        <v>86</v>
      </c>
      <c r="D68" s="3">
        <v>45848</v>
      </c>
      <c r="E68" s="2">
        <v>4</v>
      </c>
      <c r="F68" s="2" t="s">
        <v>1947</v>
      </c>
      <c r="G68" s="2" t="s">
        <v>1954</v>
      </c>
    </row>
    <row r="69" spans="1:7" x14ac:dyDescent="0.3">
      <c r="A69" s="2" t="s">
        <v>2020</v>
      </c>
      <c r="B69" s="2" t="s">
        <v>582</v>
      </c>
      <c r="C69" s="2" t="s">
        <v>74</v>
      </c>
      <c r="D69" s="3">
        <v>45461</v>
      </c>
      <c r="E69" s="2">
        <v>4</v>
      </c>
      <c r="F69" s="2" t="s">
        <v>1947</v>
      </c>
      <c r="G69" s="2" t="s">
        <v>1952</v>
      </c>
    </row>
    <row r="70" spans="1:7" x14ac:dyDescent="0.3">
      <c r="A70" s="2" t="s">
        <v>2021</v>
      </c>
      <c r="B70" s="2" t="s">
        <v>586</v>
      </c>
      <c r="C70" s="2" t="s">
        <v>157</v>
      </c>
      <c r="D70" s="3">
        <v>46180</v>
      </c>
      <c r="E70" s="2">
        <v>3</v>
      </c>
      <c r="F70" s="2" t="s">
        <v>1958</v>
      </c>
      <c r="G70" s="2" t="s">
        <v>1952</v>
      </c>
    </row>
    <row r="71" spans="1:7" x14ac:dyDescent="0.3">
      <c r="A71" s="2" t="s">
        <v>2022</v>
      </c>
      <c r="B71" s="2" t="s">
        <v>588</v>
      </c>
      <c r="C71" s="2" t="s">
        <v>125</v>
      </c>
      <c r="D71" s="3">
        <v>46215</v>
      </c>
      <c r="E71" s="2">
        <v>4</v>
      </c>
      <c r="F71" s="2" t="s">
        <v>1947</v>
      </c>
      <c r="G71" s="2" t="s">
        <v>1948</v>
      </c>
    </row>
    <row r="72" spans="1:7" x14ac:dyDescent="0.3">
      <c r="A72" s="2" t="s">
        <v>2023</v>
      </c>
      <c r="B72" s="2" t="s">
        <v>590</v>
      </c>
      <c r="C72" s="2" t="s">
        <v>16</v>
      </c>
      <c r="D72" s="3">
        <v>45737</v>
      </c>
      <c r="E72" s="2">
        <v>4</v>
      </c>
      <c r="F72" s="2" t="s">
        <v>1947</v>
      </c>
      <c r="G72" s="2" t="s">
        <v>1956</v>
      </c>
    </row>
    <row r="73" spans="1:7" x14ac:dyDescent="0.3">
      <c r="A73" s="2" t="s">
        <v>2024</v>
      </c>
      <c r="B73" s="2" t="s">
        <v>594</v>
      </c>
      <c r="C73" s="2" t="s">
        <v>47</v>
      </c>
      <c r="D73" s="3">
        <v>46003</v>
      </c>
      <c r="E73" s="2">
        <v>5</v>
      </c>
      <c r="F73" s="2" t="s">
        <v>1947</v>
      </c>
      <c r="G73" s="2" t="s">
        <v>1948</v>
      </c>
    </row>
    <row r="74" spans="1:7" x14ac:dyDescent="0.3">
      <c r="A74" s="2" t="s">
        <v>2025</v>
      </c>
      <c r="B74" s="2" t="s">
        <v>608</v>
      </c>
      <c r="C74" s="2" t="s">
        <v>123</v>
      </c>
      <c r="D74" s="3">
        <v>46151</v>
      </c>
      <c r="E74" s="2">
        <v>5</v>
      </c>
      <c r="F74" s="2" t="s">
        <v>1947</v>
      </c>
      <c r="G74" s="2" t="s">
        <v>1956</v>
      </c>
    </row>
    <row r="75" spans="1:7" x14ac:dyDescent="0.3">
      <c r="A75" s="2" t="s">
        <v>2026</v>
      </c>
      <c r="B75" s="2" t="s">
        <v>614</v>
      </c>
      <c r="C75" s="2" t="s">
        <v>185</v>
      </c>
      <c r="D75" s="3">
        <v>45654</v>
      </c>
      <c r="E75" s="2">
        <v>4</v>
      </c>
      <c r="F75" s="2" t="s">
        <v>1947</v>
      </c>
      <c r="G75" s="2" t="s">
        <v>1952</v>
      </c>
    </row>
    <row r="76" spans="1:7" x14ac:dyDescent="0.3">
      <c r="A76" s="2" t="s">
        <v>2027</v>
      </c>
      <c r="B76" s="2" t="s">
        <v>616</v>
      </c>
      <c r="C76" s="2" t="s">
        <v>173</v>
      </c>
      <c r="D76" s="3">
        <v>45873</v>
      </c>
      <c r="E76" s="2">
        <v>2</v>
      </c>
      <c r="F76" s="2" t="s">
        <v>1958</v>
      </c>
      <c r="G76" s="2" t="s">
        <v>1954</v>
      </c>
    </row>
    <row r="77" spans="1:7" x14ac:dyDescent="0.3">
      <c r="A77" s="2" t="s">
        <v>2028</v>
      </c>
      <c r="B77" s="2" t="s">
        <v>642</v>
      </c>
      <c r="C77" s="2" t="s">
        <v>118</v>
      </c>
      <c r="D77" s="3">
        <v>46319</v>
      </c>
      <c r="E77" s="2">
        <v>4</v>
      </c>
      <c r="F77" s="2" t="s">
        <v>1947</v>
      </c>
      <c r="G77" s="2" t="s">
        <v>1956</v>
      </c>
    </row>
    <row r="78" spans="1:7" x14ac:dyDescent="0.3">
      <c r="A78" s="2" t="s">
        <v>2029</v>
      </c>
      <c r="B78" s="2" t="s">
        <v>644</v>
      </c>
      <c r="C78" s="2" t="s">
        <v>40</v>
      </c>
      <c r="D78" s="3">
        <v>45942</v>
      </c>
      <c r="E78" s="2">
        <v>3</v>
      </c>
      <c r="F78" s="2" t="s">
        <v>1958</v>
      </c>
      <c r="G78" s="2" t="s">
        <v>1954</v>
      </c>
    </row>
    <row r="79" spans="1:7" x14ac:dyDescent="0.3">
      <c r="A79" s="2" t="s">
        <v>2030</v>
      </c>
      <c r="B79" s="2" t="s">
        <v>646</v>
      </c>
      <c r="C79" s="2" t="s">
        <v>151</v>
      </c>
      <c r="D79" s="3">
        <v>45892</v>
      </c>
      <c r="E79" s="2">
        <v>3</v>
      </c>
      <c r="F79" s="2" t="s">
        <v>1958</v>
      </c>
      <c r="G79" s="2" t="s">
        <v>1952</v>
      </c>
    </row>
    <row r="80" spans="1:7" x14ac:dyDescent="0.3">
      <c r="A80" s="2" t="s">
        <v>2031</v>
      </c>
      <c r="B80" s="2" t="s">
        <v>668</v>
      </c>
      <c r="C80" s="2" t="s">
        <v>175</v>
      </c>
      <c r="D80" s="3">
        <v>46284</v>
      </c>
      <c r="E80" s="2">
        <v>4</v>
      </c>
      <c r="F80" s="2" t="s">
        <v>1947</v>
      </c>
      <c r="G80" s="2" t="s">
        <v>1954</v>
      </c>
    </row>
    <row r="81" spans="1:10" x14ac:dyDescent="0.3">
      <c r="A81" s="2"/>
      <c r="B81" s="2"/>
      <c r="C81" s="2"/>
      <c r="D81" s="12"/>
      <c r="E81" s="2"/>
      <c r="F81" s="2"/>
      <c r="G81" s="2"/>
    </row>
    <row r="82" spans="1:10" x14ac:dyDescent="0.3">
      <c r="A82" s="2"/>
      <c r="B82" s="2"/>
      <c r="C82" s="2"/>
      <c r="D82" s="12"/>
      <c r="E82" s="2"/>
      <c r="F82" s="2"/>
      <c r="G82" s="2"/>
      <c r="I82" s="2"/>
      <c r="J82" s="2"/>
    </row>
    <row r="83" spans="1:10" x14ac:dyDescent="0.3">
      <c r="A83" s="2"/>
      <c r="B83" s="2"/>
      <c r="C83" s="2"/>
      <c r="D83" s="12"/>
      <c r="E83" s="2"/>
      <c r="F83" s="2"/>
      <c r="G83" s="2"/>
      <c r="I83" s="2"/>
      <c r="J83" s="2"/>
    </row>
    <row r="84" spans="1:10" x14ac:dyDescent="0.3">
      <c r="A84" s="2"/>
      <c r="B84" s="2"/>
      <c r="C84" s="2"/>
      <c r="D84" s="12"/>
      <c r="E84" s="2"/>
      <c r="F84" s="2"/>
      <c r="G84" s="2"/>
      <c r="I84" s="2"/>
      <c r="J84" s="2"/>
    </row>
    <row r="85" spans="1:10" x14ac:dyDescent="0.3">
      <c r="A85" s="2"/>
      <c r="B85" s="2"/>
      <c r="C85" s="2"/>
      <c r="D85" s="12"/>
      <c r="E85" s="2"/>
      <c r="F85" s="2"/>
      <c r="G85" s="2"/>
      <c r="I85" s="2"/>
      <c r="J85" s="2"/>
    </row>
    <row r="86" spans="1:10" x14ac:dyDescent="0.3">
      <c r="A86" s="2"/>
      <c r="B86" s="2"/>
      <c r="C86" s="2"/>
      <c r="D86" s="12"/>
      <c r="E86" s="2"/>
      <c r="F86" s="2"/>
      <c r="G86" s="2"/>
      <c r="J86" s="2"/>
    </row>
    <row r="87" spans="1:10" x14ac:dyDescent="0.3">
      <c r="A87" s="2"/>
      <c r="B87" s="2"/>
      <c r="C87" s="2"/>
      <c r="D87" s="12"/>
      <c r="E87" s="2"/>
      <c r="F87" s="2"/>
      <c r="G87" s="2"/>
    </row>
    <row r="88" spans="1:10" x14ac:dyDescent="0.3">
      <c r="A88" s="2"/>
      <c r="B88" s="2"/>
      <c r="C88" s="2"/>
      <c r="D88" s="12"/>
      <c r="E88" s="2"/>
      <c r="F88" s="2"/>
      <c r="G88" s="2"/>
    </row>
    <row r="89" spans="1:10" x14ac:dyDescent="0.3">
      <c r="A89" s="2"/>
      <c r="B89" s="2"/>
      <c r="C89" s="2"/>
      <c r="D89" s="12"/>
      <c r="E89" s="2"/>
      <c r="F89" s="2"/>
      <c r="G89" s="2"/>
    </row>
    <row r="90" spans="1:10" x14ac:dyDescent="0.3">
      <c r="A90" s="2"/>
      <c r="B90" s="2"/>
      <c r="C90" s="2"/>
      <c r="D90" s="12"/>
      <c r="E90" s="2"/>
      <c r="F90" s="2"/>
      <c r="G90" s="2"/>
    </row>
    <row r="91" spans="1:10" x14ac:dyDescent="0.3">
      <c r="A91" s="2"/>
      <c r="B91" s="2"/>
      <c r="C91" s="2"/>
      <c r="D91" s="12"/>
      <c r="E91" s="2"/>
      <c r="F91" s="2"/>
      <c r="G91" s="2"/>
    </row>
    <row r="92" spans="1:10" x14ac:dyDescent="0.3">
      <c r="A92" s="2"/>
      <c r="B92" s="2"/>
      <c r="C92" s="2"/>
      <c r="D92" s="12"/>
      <c r="E92" s="2"/>
      <c r="F92" s="2"/>
      <c r="G92" s="2"/>
      <c r="I92" s="2"/>
    </row>
    <row r="93" spans="1:10" x14ac:dyDescent="0.3">
      <c r="A93" s="2"/>
      <c r="B93" s="2"/>
      <c r="C93" s="2"/>
      <c r="D93" s="12"/>
      <c r="E93" s="2"/>
      <c r="F93" s="2"/>
      <c r="G93" s="2"/>
    </row>
    <row r="94" spans="1:10" x14ac:dyDescent="0.3">
      <c r="A94" s="2"/>
      <c r="B94" s="2"/>
      <c r="C94" s="2"/>
      <c r="D94" s="12"/>
      <c r="E94" s="2"/>
      <c r="F94" s="2"/>
      <c r="G94" s="2"/>
    </row>
    <row r="95" spans="1:10" x14ac:dyDescent="0.3">
      <c r="A95" s="2"/>
      <c r="B95" s="2"/>
      <c r="C95" s="2"/>
      <c r="D95" s="12"/>
      <c r="E95" s="2"/>
      <c r="F95" s="2"/>
      <c r="G95" s="2"/>
    </row>
    <row r="96" spans="1:10" x14ac:dyDescent="0.3">
      <c r="A96" s="2"/>
      <c r="B96" s="2"/>
      <c r="C96" s="2"/>
      <c r="D96" s="12"/>
      <c r="E96" s="2"/>
      <c r="F96" s="2"/>
      <c r="G96" s="2"/>
    </row>
    <row r="97" spans="1:7" x14ac:dyDescent="0.3">
      <c r="A97" s="2"/>
      <c r="B97" s="2"/>
      <c r="C97" s="2"/>
      <c r="D97" s="12"/>
      <c r="E97" s="2"/>
      <c r="F97" s="2"/>
      <c r="G97" s="2"/>
    </row>
    <row r="98" spans="1:7" x14ac:dyDescent="0.3">
      <c r="A98" s="2"/>
      <c r="B98" s="2"/>
      <c r="C98" s="2"/>
      <c r="D98" s="12"/>
      <c r="E98" s="2"/>
      <c r="F98" s="2"/>
      <c r="G98" s="2"/>
    </row>
    <row r="99" spans="1:7" x14ac:dyDescent="0.3">
      <c r="A99" s="2"/>
      <c r="B99" s="2"/>
      <c r="C99" s="2"/>
      <c r="D99" s="12"/>
      <c r="E99" s="2"/>
      <c r="F99" s="2"/>
      <c r="G99" s="2"/>
    </row>
    <row r="100" spans="1:7" x14ac:dyDescent="0.3">
      <c r="A100" s="2"/>
      <c r="B100" s="2"/>
      <c r="C100" s="2"/>
      <c r="D100" s="12"/>
      <c r="E100" s="2"/>
      <c r="F100" s="2"/>
      <c r="G100" s="2"/>
    </row>
    <row r="101" spans="1:7" x14ac:dyDescent="0.3">
      <c r="A101" s="2"/>
      <c r="B101" s="2"/>
      <c r="C101" s="2"/>
      <c r="D101" s="12"/>
      <c r="E101" s="2"/>
      <c r="F101" s="2"/>
      <c r="G101" s="2"/>
    </row>
    <row r="102" spans="1:7" x14ac:dyDescent="0.3">
      <c r="A102" s="2"/>
      <c r="B102" s="2"/>
      <c r="C102" s="2"/>
      <c r="D102" s="12"/>
      <c r="E102" s="2"/>
      <c r="F102" s="2"/>
      <c r="G102" s="2"/>
    </row>
    <row r="103" spans="1:7" x14ac:dyDescent="0.3">
      <c r="A103" s="2"/>
      <c r="B103" s="2"/>
      <c r="C103" s="2"/>
      <c r="D103" s="12"/>
      <c r="E103" s="2"/>
      <c r="F103" s="2"/>
      <c r="G103" s="2"/>
    </row>
    <row r="104" spans="1:7" x14ac:dyDescent="0.3">
      <c r="A104" s="2"/>
      <c r="B104" s="2"/>
      <c r="C104" s="2"/>
      <c r="D104" s="12"/>
      <c r="E104" s="2"/>
      <c r="F104" s="2"/>
      <c r="G104" s="2"/>
    </row>
    <row r="105" spans="1:7" x14ac:dyDescent="0.3">
      <c r="A105" s="2"/>
      <c r="B105" s="2"/>
      <c r="C105" s="2"/>
      <c r="D105" s="12"/>
      <c r="E105" s="2"/>
      <c r="F105" s="2"/>
      <c r="G105" s="2"/>
    </row>
    <row r="106" spans="1:7" x14ac:dyDescent="0.3">
      <c r="A106" s="2"/>
      <c r="B106" s="2"/>
      <c r="C106" s="2"/>
      <c r="D106" s="12"/>
      <c r="E106" s="2"/>
      <c r="F106" s="2"/>
      <c r="G106" s="2"/>
    </row>
    <row r="107" spans="1:7" x14ac:dyDescent="0.3">
      <c r="A107" s="2"/>
      <c r="B107" s="2"/>
      <c r="C107" s="2"/>
      <c r="D107" s="12"/>
      <c r="E107" s="2"/>
      <c r="F107" s="2"/>
      <c r="G107" s="2"/>
    </row>
    <row r="108" spans="1:7" x14ac:dyDescent="0.3">
      <c r="A108" s="2"/>
      <c r="B108" s="2"/>
      <c r="C108" s="2"/>
      <c r="D108" s="12"/>
      <c r="E108" s="2"/>
      <c r="F108" s="2"/>
      <c r="G108" s="2"/>
    </row>
    <row r="109" spans="1:7" x14ac:dyDescent="0.3">
      <c r="A109" s="2"/>
      <c r="B109" s="2"/>
      <c r="C109" s="2"/>
      <c r="D109" s="12"/>
      <c r="E109" s="2"/>
      <c r="F109" s="2"/>
      <c r="G109" s="2"/>
    </row>
    <row r="110" spans="1:7" x14ac:dyDescent="0.3">
      <c r="A110" s="2"/>
      <c r="B110" s="2"/>
      <c r="C110" s="2"/>
      <c r="D110" s="12"/>
      <c r="E110" s="2"/>
      <c r="F110" s="2"/>
      <c r="G110" s="2"/>
    </row>
    <row r="111" spans="1:7" x14ac:dyDescent="0.3">
      <c r="A111" s="2"/>
      <c r="B111" s="2"/>
      <c r="C111" s="2"/>
      <c r="D111" s="12"/>
      <c r="E111" s="2"/>
      <c r="F111" s="2"/>
      <c r="G111" s="2"/>
    </row>
    <row r="112" spans="1:7" x14ac:dyDescent="0.3">
      <c r="A112" s="2"/>
      <c r="B112" s="2"/>
      <c r="C112" s="2"/>
      <c r="D112" s="12"/>
      <c r="E112" s="2"/>
      <c r="F112" s="2"/>
      <c r="G112" s="2"/>
    </row>
    <row r="113" spans="1:7" x14ac:dyDescent="0.3">
      <c r="A113" s="2"/>
      <c r="B113" s="2"/>
      <c r="C113" s="2"/>
      <c r="D113" s="12"/>
      <c r="E113" s="2"/>
      <c r="F113" s="2"/>
      <c r="G113" s="2"/>
    </row>
    <row r="114" spans="1:7" x14ac:dyDescent="0.3">
      <c r="A114" s="2"/>
      <c r="B114" s="2"/>
      <c r="C114" s="2"/>
      <c r="D114" s="12"/>
      <c r="E114" s="2"/>
      <c r="F114" s="2"/>
      <c r="G114" s="2"/>
    </row>
    <row r="115" spans="1:7" x14ac:dyDescent="0.3">
      <c r="A115" s="2"/>
      <c r="B115" s="2"/>
      <c r="C115" s="2"/>
      <c r="D115" s="12"/>
      <c r="E115" s="2"/>
      <c r="F115" s="2"/>
      <c r="G115" s="2"/>
    </row>
    <row r="116" spans="1:7" x14ac:dyDescent="0.3">
      <c r="A116" s="2"/>
      <c r="B116" s="2"/>
      <c r="C116" s="2"/>
      <c r="D116" s="12"/>
      <c r="E116" s="2"/>
      <c r="F116" s="2"/>
      <c r="G116" s="2"/>
    </row>
    <row r="117" spans="1:7" x14ac:dyDescent="0.3">
      <c r="A117" s="2"/>
      <c r="B117" s="2"/>
      <c r="C117" s="2"/>
      <c r="D117" s="12"/>
      <c r="E117" s="2"/>
      <c r="F117" s="2"/>
      <c r="G117" s="2"/>
    </row>
    <row r="118" spans="1:7" x14ac:dyDescent="0.3">
      <c r="A118" s="2"/>
      <c r="B118" s="2"/>
      <c r="C118" s="2"/>
      <c r="D118" s="12"/>
      <c r="E118" s="2"/>
      <c r="F118" s="2"/>
      <c r="G118" s="2"/>
    </row>
    <row r="119" spans="1:7" x14ac:dyDescent="0.3">
      <c r="A119" s="2"/>
      <c r="B119" s="2"/>
      <c r="C119" s="2"/>
      <c r="D119" s="12"/>
      <c r="E119" s="2"/>
      <c r="F119" s="2"/>
      <c r="G119" s="2"/>
    </row>
    <row r="120" spans="1:7" x14ac:dyDescent="0.3">
      <c r="A120" s="2"/>
      <c r="B120" s="2"/>
      <c r="C120" s="2"/>
      <c r="D120" s="12"/>
      <c r="E120" s="2"/>
      <c r="F120" s="2"/>
      <c r="G120" s="2"/>
    </row>
    <row r="121" spans="1:7" x14ac:dyDescent="0.3">
      <c r="A121" s="2"/>
      <c r="B121" s="2"/>
      <c r="C121" s="2"/>
      <c r="D121" s="12"/>
      <c r="E121" s="2"/>
      <c r="F121" s="2"/>
      <c r="G121" s="2"/>
    </row>
    <row r="122" spans="1:7" x14ac:dyDescent="0.3">
      <c r="A122" s="2"/>
      <c r="B122" s="2"/>
      <c r="C122" s="2"/>
      <c r="D122" s="12"/>
      <c r="E122" s="2"/>
      <c r="F122" s="2"/>
      <c r="G122" s="2"/>
    </row>
    <row r="123" spans="1:7" x14ac:dyDescent="0.3">
      <c r="A123" s="2"/>
      <c r="B123" s="2"/>
      <c r="C123" s="2"/>
      <c r="D123" s="12"/>
      <c r="E123" s="2"/>
      <c r="F123" s="2"/>
      <c r="G123" s="2"/>
    </row>
    <row r="124" spans="1:7" x14ac:dyDescent="0.3">
      <c r="A124" s="2"/>
      <c r="B124" s="2"/>
      <c r="C124" s="2"/>
      <c r="D124" s="12"/>
      <c r="E124" s="2"/>
      <c r="F124" s="2"/>
      <c r="G124" s="2"/>
    </row>
    <row r="125" spans="1:7" x14ac:dyDescent="0.3">
      <c r="A125" s="2"/>
      <c r="B125" s="2"/>
      <c r="C125" s="2"/>
      <c r="D125" s="12"/>
      <c r="E125" s="2"/>
      <c r="F125" s="2"/>
      <c r="G125" s="2"/>
    </row>
    <row r="126" spans="1:7" x14ac:dyDescent="0.3">
      <c r="A126" s="2"/>
      <c r="B126" s="2"/>
      <c r="C126" s="2"/>
      <c r="D126" s="12"/>
      <c r="E126" s="2"/>
      <c r="F126" s="2"/>
      <c r="G126" s="2"/>
    </row>
    <row r="127" spans="1:7" x14ac:dyDescent="0.3">
      <c r="A127" s="2"/>
      <c r="B127" s="2"/>
      <c r="C127" s="2"/>
      <c r="D127" s="12"/>
      <c r="E127" s="2"/>
      <c r="F127" s="2"/>
      <c r="G127" s="2"/>
    </row>
    <row r="128" spans="1:7" x14ac:dyDescent="0.3">
      <c r="A128" s="2"/>
      <c r="B128" s="2"/>
      <c r="C128" s="2"/>
      <c r="D128" s="12"/>
      <c r="E128" s="2"/>
      <c r="F128" s="2"/>
      <c r="G128" s="2"/>
    </row>
    <row r="129" spans="1:7" x14ac:dyDescent="0.3">
      <c r="A129" s="2"/>
      <c r="B129" s="2"/>
      <c r="C129" s="2"/>
      <c r="D129" s="12"/>
      <c r="E129" s="2"/>
      <c r="F129" s="2"/>
      <c r="G129" s="2"/>
    </row>
    <row r="130" spans="1:7" x14ac:dyDescent="0.3">
      <c r="A130" s="2"/>
      <c r="B130" s="2"/>
      <c r="C130" s="2"/>
      <c r="D130" s="12"/>
      <c r="E130" s="2"/>
      <c r="F130" s="2"/>
      <c r="G130" s="2"/>
    </row>
    <row r="131" spans="1:7" x14ac:dyDescent="0.3">
      <c r="A131" s="2"/>
      <c r="B131" s="2"/>
      <c r="C131" s="2"/>
      <c r="D131" s="12"/>
      <c r="E131" s="2"/>
      <c r="F131" s="2"/>
      <c r="G131" s="2"/>
    </row>
    <row r="132" spans="1:7" x14ac:dyDescent="0.3">
      <c r="A132" s="2"/>
      <c r="B132" s="2"/>
      <c r="C132" s="2"/>
      <c r="D132" s="12"/>
      <c r="E132" s="2"/>
      <c r="F132" s="2"/>
      <c r="G132" s="2"/>
    </row>
    <row r="133" spans="1:7" x14ac:dyDescent="0.3">
      <c r="A133" s="2"/>
      <c r="B133" s="2"/>
      <c r="C133" s="2"/>
      <c r="D133" s="12"/>
      <c r="E133" s="2"/>
      <c r="F133" s="2"/>
      <c r="G133" s="2"/>
    </row>
    <row r="134" spans="1:7" x14ac:dyDescent="0.3">
      <c r="A134" s="2"/>
      <c r="B134" s="2"/>
      <c r="C134" s="2"/>
      <c r="D134" s="12"/>
      <c r="E134" s="2"/>
      <c r="F134" s="2"/>
      <c r="G134" s="2"/>
    </row>
    <row r="135" spans="1:7" x14ac:dyDescent="0.3">
      <c r="A135" s="2"/>
      <c r="B135" s="2"/>
      <c r="C135" s="2"/>
      <c r="D135" s="12"/>
      <c r="E135" s="2"/>
      <c r="F135" s="2"/>
      <c r="G135" s="2"/>
    </row>
    <row r="136" spans="1:7" x14ac:dyDescent="0.3">
      <c r="A136" s="2"/>
      <c r="B136" s="2"/>
      <c r="C136" s="2"/>
      <c r="D136" s="12"/>
      <c r="E136" s="2"/>
      <c r="F136" s="2"/>
      <c r="G136" s="2"/>
    </row>
    <row r="137" spans="1:7" x14ac:dyDescent="0.3">
      <c r="A137" s="2"/>
      <c r="B137" s="2"/>
      <c r="C137" s="2"/>
      <c r="D137" s="12"/>
      <c r="E137" s="2"/>
      <c r="F137" s="2"/>
      <c r="G137" s="2"/>
    </row>
    <row r="138" spans="1:7" x14ac:dyDescent="0.3">
      <c r="A138" s="2"/>
      <c r="B138" s="2"/>
      <c r="C138" s="2"/>
      <c r="D138" s="12"/>
      <c r="E138" s="2"/>
      <c r="F138" s="2"/>
      <c r="G138" s="2"/>
    </row>
    <row r="139" spans="1:7" x14ac:dyDescent="0.3">
      <c r="A139" s="2"/>
      <c r="B139" s="2"/>
      <c r="C139" s="2"/>
      <c r="D139" s="12"/>
      <c r="E139" s="2"/>
      <c r="F139" s="2"/>
      <c r="G139" s="2"/>
    </row>
    <row r="140" spans="1:7" x14ac:dyDescent="0.3">
      <c r="A140" s="2"/>
      <c r="B140" s="2"/>
      <c r="C140" s="2"/>
      <c r="D140" s="12"/>
      <c r="E140" s="2"/>
      <c r="F140" s="2"/>
      <c r="G140" s="2"/>
    </row>
    <row r="141" spans="1:7" x14ac:dyDescent="0.3">
      <c r="A141" s="2"/>
      <c r="B141" s="2"/>
      <c r="C141" s="2"/>
      <c r="D141" s="12"/>
      <c r="E141" s="2"/>
      <c r="F141" s="2"/>
      <c r="G141" s="2"/>
    </row>
    <row r="142" spans="1:7" x14ac:dyDescent="0.3">
      <c r="A142" s="2"/>
      <c r="B142" s="2"/>
      <c r="C142" s="2"/>
      <c r="D142" s="12"/>
      <c r="E142" s="2"/>
      <c r="F142" s="2"/>
      <c r="G142" s="2"/>
    </row>
    <row r="143" spans="1:7" x14ac:dyDescent="0.3">
      <c r="A143" s="2"/>
      <c r="B143" s="2"/>
      <c r="C143" s="2"/>
      <c r="D143" s="12"/>
      <c r="E143" s="2"/>
      <c r="F143" s="2"/>
      <c r="G143" s="2"/>
    </row>
    <row r="144" spans="1:7" x14ac:dyDescent="0.3">
      <c r="A144" s="2"/>
      <c r="B144" s="2"/>
      <c r="C144" s="2"/>
      <c r="D144" s="12"/>
      <c r="E144" s="2"/>
      <c r="F144" s="2"/>
      <c r="G144" s="2"/>
    </row>
    <row r="145" spans="1:7" x14ac:dyDescent="0.3">
      <c r="A145" s="2"/>
      <c r="B145" s="2"/>
      <c r="C145" s="2"/>
      <c r="D145" s="12"/>
      <c r="E145" s="2"/>
      <c r="F145" s="2"/>
      <c r="G145" s="2"/>
    </row>
    <row r="146" spans="1:7" x14ac:dyDescent="0.3">
      <c r="A146" s="2"/>
      <c r="B146" s="2"/>
      <c r="C146" s="2"/>
      <c r="D146" s="12"/>
      <c r="E146" s="2"/>
      <c r="F146" s="2"/>
      <c r="G146" s="2"/>
    </row>
    <row r="147" spans="1:7" x14ac:dyDescent="0.3">
      <c r="A147" s="2"/>
      <c r="B147" s="2"/>
      <c r="C147" s="2"/>
      <c r="D147" s="12"/>
      <c r="E147" s="2"/>
      <c r="F147" s="2"/>
      <c r="G147" s="2"/>
    </row>
    <row r="148" spans="1:7" x14ac:dyDescent="0.3">
      <c r="A148" s="2"/>
      <c r="B148" s="2"/>
      <c r="C148" s="2"/>
      <c r="D148" s="12"/>
      <c r="E148" s="2"/>
      <c r="F148" s="2"/>
      <c r="G148" s="2"/>
    </row>
    <row r="149" spans="1:7" x14ac:dyDescent="0.3">
      <c r="A149" s="2"/>
      <c r="B149" s="2"/>
      <c r="C149" s="2"/>
      <c r="D149" s="12"/>
      <c r="E149" s="2"/>
      <c r="F149" s="2"/>
      <c r="G149" s="2"/>
    </row>
    <row r="150" spans="1:7" x14ac:dyDescent="0.3">
      <c r="A150" s="2"/>
      <c r="B150" s="2"/>
      <c r="C150" s="2"/>
      <c r="D150" s="12"/>
      <c r="E150" s="2"/>
      <c r="F150" s="2"/>
      <c r="G150" s="2"/>
    </row>
    <row r="151" spans="1:7" x14ac:dyDescent="0.3">
      <c r="A151" s="2"/>
      <c r="B151" s="2"/>
      <c r="C151" s="2"/>
      <c r="D151" s="12"/>
      <c r="E151" s="2"/>
      <c r="F151" s="2"/>
      <c r="G151" s="2"/>
    </row>
    <row r="152" spans="1:7" x14ac:dyDescent="0.3">
      <c r="A152" s="2"/>
      <c r="B152" s="2"/>
      <c r="C152" s="2"/>
      <c r="D152" s="12"/>
      <c r="E152" s="2"/>
      <c r="F152" s="2"/>
      <c r="G152" s="2"/>
    </row>
    <row r="153" spans="1:7" x14ac:dyDescent="0.3">
      <c r="A153" s="2"/>
      <c r="B153" s="2"/>
      <c r="C153" s="2"/>
      <c r="D153" s="12"/>
      <c r="E153" s="2"/>
      <c r="F153" s="2"/>
      <c r="G153" s="2"/>
    </row>
    <row r="154" spans="1:7" x14ac:dyDescent="0.3">
      <c r="A154" s="2"/>
      <c r="B154" s="2"/>
      <c r="C154" s="2"/>
      <c r="D154" s="12"/>
      <c r="E154" s="2"/>
      <c r="F154" s="2"/>
      <c r="G154" s="2"/>
    </row>
    <row r="155" spans="1:7" x14ac:dyDescent="0.3">
      <c r="A155" s="2"/>
      <c r="B155" s="2"/>
      <c r="C155" s="2"/>
      <c r="D155" s="12"/>
      <c r="E155" s="2"/>
      <c r="F155" s="2"/>
      <c r="G155" s="2"/>
    </row>
    <row r="156" spans="1:7" x14ac:dyDescent="0.3">
      <c r="A156" s="2"/>
      <c r="B156" s="2"/>
      <c r="C156" s="2"/>
      <c r="D156" s="12"/>
      <c r="E156" s="2"/>
      <c r="F156" s="2"/>
      <c r="G156" s="2"/>
    </row>
    <row r="157" spans="1:7" x14ac:dyDescent="0.3">
      <c r="A157" s="2"/>
      <c r="B157" s="2"/>
      <c r="C157" s="2"/>
      <c r="D157" s="12"/>
      <c r="E157" s="2"/>
      <c r="F157" s="2"/>
      <c r="G157" s="2"/>
    </row>
    <row r="158" spans="1:7" x14ac:dyDescent="0.3">
      <c r="A158" s="2"/>
      <c r="B158" s="2"/>
      <c r="C158" s="2"/>
      <c r="D158" s="12"/>
      <c r="E158" s="2"/>
      <c r="F158" s="2"/>
      <c r="G158" s="2"/>
    </row>
    <row r="159" spans="1:7" x14ac:dyDescent="0.3">
      <c r="A159" s="2"/>
      <c r="B159" s="2"/>
      <c r="C159" s="2"/>
      <c r="D159" s="12"/>
      <c r="E159" s="2"/>
      <c r="F159" s="2"/>
      <c r="G159" s="2"/>
    </row>
  </sheetData>
  <pageMargins left="0.75" right="0.75" top="1" bottom="1" header="0.5" footer="0.5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06"/>
  <sheetViews>
    <sheetView tabSelected="1" topLeftCell="A678" workbookViewId="0">
      <selection activeCell="K11" sqref="K11"/>
    </sheetView>
  </sheetViews>
  <sheetFormatPr defaultRowHeight="14.4" x14ac:dyDescent="0.3"/>
  <cols>
    <col min="1" max="1" width="22.33203125" customWidth="1"/>
    <col min="3" max="3" width="9.33203125" customWidth="1"/>
    <col min="4" max="4" width="16.5546875" customWidth="1"/>
    <col min="6" max="6" width="13.33203125" customWidth="1"/>
  </cols>
  <sheetData>
    <row r="1" spans="1:6" x14ac:dyDescent="0.3">
      <c r="A1" s="1" t="s">
        <v>2032</v>
      </c>
      <c r="B1" s="1" t="s">
        <v>2033</v>
      </c>
      <c r="C1" s="1" t="s">
        <v>2034</v>
      </c>
      <c r="D1" s="1" t="s">
        <v>2035</v>
      </c>
      <c r="E1" s="1" t="s">
        <v>2036</v>
      </c>
      <c r="F1" s="1" t="s">
        <v>2037</v>
      </c>
    </row>
    <row r="2" spans="1:6" x14ac:dyDescent="0.3">
      <c r="A2" s="3">
        <v>45658</v>
      </c>
      <c r="B2" s="2">
        <v>2025</v>
      </c>
      <c r="C2" s="2" t="s">
        <v>2038</v>
      </c>
      <c r="D2" s="2">
        <v>1</v>
      </c>
      <c r="E2" s="2" t="s">
        <v>2039</v>
      </c>
      <c r="F2" s="2" t="s">
        <v>2054</v>
      </c>
    </row>
    <row r="3" spans="1:6" x14ac:dyDescent="0.3">
      <c r="A3" s="3">
        <v>45659</v>
      </c>
      <c r="B3" s="2">
        <v>2025</v>
      </c>
      <c r="C3" s="2" t="s">
        <v>2038</v>
      </c>
      <c r="D3" s="2">
        <v>1</v>
      </c>
      <c r="E3" s="2" t="s">
        <v>2039</v>
      </c>
      <c r="F3" s="2" t="s">
        <v>2054</v>
      </c>
    </row>
    <row r="4" spans="1:6" x14ac:dyDescent="0.3">
      <c r="A4" s="3">
        <v>45660</v>
      </c>
      <c r="B4" s="2">
        <v>2025</v>
      </c>
      <c r="C4" s="2" t="s">
        <v>2038</v>
      </c>
      <c r="D4" s="2">
        <v>1</v>
      </c>
      <c r="E4" s="2" t="s">
        <v>2039</v>
      </c>
      <c r="F4" s="2" t="s">
        <v>2054</v>
      </c>
    </row>
    <row r="5" spans="1:6" x14ac:dyDescent="0.3">
      <c r="A5" s="3">
        <v>45661</v>
      </c>
      <c r="B5" s="2">
        <v>2025</v>
      </c>
      <c r="C5" s="2" t="s">
        <v>2038</v>
      </c>
      <c r="D5" s="2">
        <v>1</v>
      </c>
      <c r="E5" s="2" t="s">
        <v>2039</v>
      </c>
      <c r="F5" s="2" t="s">
        <v>2054</v>
      </c>
    </row>
    <row r="6" spans="1:6" x14ac:dyDescent="0.3">
      <c r="A6" s="3">
        <v>45662</v>
      </c>
      <c r="B6" s="2">
        <v>2025</v>
      </c>
      <c r="C6" s="2" t="s">
        <v>2038</v>
      </c>
      <c r="D6" s="2">
        <v>1</v>
      </c>
      <c r="E6" s="2" t="s">
        <v>2039</v>
      </c>
      <c r="F6" s="2" t="s">
        <v>2054</v>
      </c>
    </row>
    <row r="7" spans="1:6" x14ac:dyDescent="0.3">
      <c r="A7" s="3">
        <v>45663</v>
      </c>
      <c r="B7" s="2">
        <v>2025</v>
      </c>
      <c r="C7" s="2" t="s">
        <v>2038</v>
      </c>
      <c r="D7" s="2">
        <v>1</v>
      </c>
      <c r="E7" s="2" t="s">
        <v>2039</v>
      </c>
      <c r="F7" s="2" t="s">
        <v>2054</v>
      </c>
    </row>
    <row r="8" spans="1:6" x14ac:dyDescent="0.3">
      <c r="A8" s="3">
        <v>45664</v>
      </c>
      <c r="B8" s="2">
        <v>2025</v>
      </c>
      <c r="C8" s="2" t="s">
        <v>2038</v>
      </c>
      <c r="D8" s="2">
        <v>1</v>
      </c>
      <c r="E8" s="2" t="s">
        <v>2039</v>
      </c>
      <c r="F8" s="2" t="s">
        <v>2054</v>
      </c>
    </row>
    <row r="9" spans="1:6" x14ac:dyDescent="0.3">
      <c r="A9" s="3">
        <v>45665</v>
      </c>
      <c r="B9" s="2">
        <v>2025</v>
      </c>
      <c r="C9" s="2" t="s">
        <v>2038</v>
      </c>
      <c r="D9" s="2">
        <v>1</v>
      </c>
      <c r="E9" s="2" t="s">
        <v>2039</v>
      </c>
      <c r="F9" s="2" t="s">
        <v>2054</v>
      </c>
    </row>
    <row r="10" spans="1:6" x14ac:dyDescent="0.3">
      <c r="A10" s="3">
        <v>45666</v>
      </c>
      <c r="B10" s="2">
        <v>2025</v>
      </c>
      <c r="C10" s="2" t="s">
        <v>2038</v>
      </c>
      <c r="D10" s="2">
        <v>1</v>
      </c>
      <c r="E10" s="2" t="s">
        <v>2039</v>
      </c>
      <c r="F10" s="2" t="s">
        <v>2054</v>
      </c>
    </row>
    <row r="11" spans="1:6" x14ac:dyDescent="0.3">
      <c r="A11" s="3">
        <v>45667</v>
      </c>
      <c r="B11" s="2">
        <v>2025</v>
      </c>
      <c r="C11" s="2" t="s">
        <v>2038</v>
      </c>
      <c r="D11" s="2">
        <v>1</v>
      </c>
      <c r="E11" s="2" t="s">
        <v>2039</v>
      </c>
      <c r="F11" s="2" t="s">
        <v>2054</v>
      </c>
    </row>
    <row r="12" spans="1:6" x14ac:dyDescent="0.3">
      <c r="A12" s="3">
        <v>45668</v>
      </c>
      <c r="B12" s="2">
        <v>2025</v>
      </c>
      <c r="C12" s="2" t="s">
        <v>2038</v>
      </c>
      <c r="D12" s="2">
        <v>1</v>
      </c>
      <c r="E12" s="2" t="s">
        <v>2039</v>
      </c>
      <c r="F12" s="2" t="s">
        <v>2054</v>
      </c>
    </row>
    <row r="13" spans="1:6" x14ac:dyDescent="0.3">
      <c r="A13" s="3">
        <v>45669</v>
      </c>
      <c r="B13" s="2">
        <v>2025</v>
      </c>
      <c r="C13" s="2" t="s">
        <v>2038</v>
      </c>
      <c r="D13" s="2">
        <v>1</v>
      </c>
      <c r="E13" s="2" t="s">
        <v>2039</v>
      </c>
      <c r="F13" s="2" t="s">
        <v>2054</v>
      </c>
    </row>
    <row r="14" spans="1:6" x14ac:dyDescent="0.3">
      <c r="A14" s="3">
        <v>45670</v>
      </c>
      <c r="B14" s="2">
        <v>2025</v>
      </c>
      <c r="C14" s="2" t="s">
        <v>2038</v>
      </c>
      <c r="D14" s="2">
        <v>1</v>
      </c>
      <c r="E14" s="2" t="s">
        <v>2039</v>
      </c>
      <c r="F14" s="2" t="s">
        <v>2054</v>
      </c>
    </row>
    <row r="15" spans="1:6" x14ac:dyDescent="0.3">
      <c r="A15" s="3">
        <v>45671</v>
      </c>
      <c r="B15" s="2">
        <v>2025</v>
      </c>
      <c r="C15" s="2" t="s">
        <v>2038</v>
      </c>
      <c r="D15" s="2">
        <v>1</v>
      </c>
      <c r="E15" s="2" t="s">
        <v>2039</v>
      </c>
      <c r="F15" s="2" t="s">
        <v>2054</v>
      </c>
    </row>
    <row r="16" spans="1:6" x14ac:dyDescent="0.3">
      <c r="A16" s="3">
        <v>45672</v>
      </c>
      <c r="B16" s="2">
        <v>2025</v>
      </c>
      <c r="C16" s="2" t="s">
        <v>2038</v>
      </c>
      <c r="D16" s="2">
        <v>1</v>
      </c>
      <c r="E16" s="2" t="s">
        <v>2039</v>
      </c>
      <c r="F16" s="2" t="s">
        <v>2054</v>
      </c>
    </row>
    <row r="17" spans="1:6" x14ac:dyDescent="0.3">
      <c r="A17" s="3">
        <v>45673</v>
      </c>
      <c r="B17" s="2">
        <v>2025</v>
      </c>
      <c r="C17" s="2" t="s">
        <v>2038</v>
      </c>
      <c r="D17" s="2">
        <v>1</v>
      </c>
      <c r="E17" s="2" t="s">
        <v>2039</v>
      </c>
      <c r="F17" s="2" t="s">
        <v>2054</v>
      </c>
    </row>
    <row r="18" spans="1:6" x14ac:dyDescent="0.3">
      <c r="A18" s="3">
        <v>45674</v>
      </c>
      <c r="B18" s="2">
        <v>2025</v>
      </c>
      <c r="C18" s="2" t="s">
        <v>2038</v>
      </c>
      <c r="D18" s="2">
        <v>1</v>
      </c>
      <c r="E18" s="2" t="s">
        <v>2039</v>
      </c>
      <c r="F18" s="2" t="s">
        <v>2054</v>
      </c>
    </row>
    <row r="19" spans="1:6" x14ac:dyDescent="0.3">
      <c r="A19" s="3">
        <v>45675</v>
      </c>
      <c r="B19" s="2">
        <v>2025</v>
      </c>
      <c r="C19" s="2" t="s">
        <v>2038</v>
      </c>
      <c r="D19" s="2">
        <v>1</v>
      </c>
      <c r="E19" s="2" t="s">
        <v>2039</v>
      </c>
      <c r="F19" s="2" t="s">
        <v>2054</v>
      </c>
    </row>
    <row r="20" spans="1:6" x14ac:dyDescent="0.3">
      <c r="A20" s="3">
        <v>45676</v>
      </c>
      <c r="B20" s="2">
        <v>2025</v>
      </c>
      <c r="C20" s="2" t="s">
        <v>2038</v>
      </c>
      <c r="D20" s="2">
        <v>1</v>
      </c>
      <c r="E20" s="2" t="s">
        <v>2039</v>
      </c>
      <c r="F20" s="2" t="s">
        <v>2054</v>
      </c>
    </row>
    <row r="21" spans="1:6" x14ac:dyDescent="0.3">
      <c r="A21" s="3">
        <v>45677</v>
      </c>
      <c r="B21" s="2">
        <v>2025</v>
      </c>
      <c r="C21" s="2" t="s">
        <v>2038</v>
      </c>
      <c r="D21" s="2">
        <v>1</v>
      </c>
      <c r="E21" s="2" t="s">
        <v>2039</v>
      </c>
      <c r="F21" s="2" t="s">
        <v>2054</v>
      </c>
    </row>
    <row r="22" spans="1:6" x14ac:dyDescent="0.3">
      <c r="A22" s="3">
        <v>45678</v>
      </c>
      <c r="B22" s="2">
        <v>2025</v>
      </c>
      <c r="C22" s="2" t="s">
        <v>2038</v>
      </c>
      <c r="D22" s="2">
        <v>1</v>
      </c>
      <c r="E22" s="2" t="s">
        <v>2039</v>
      </c>
      <c r="F22" s="2" t="s">
        <v>2054</v>
      </c>
    </row>
    <row r="23" spans="1:6" x14ac:dyDescent="0.3">
      <c r="A23" s="3">
        <v>45679</v>
      </c>
      <c r="B23" s="2">
        <v>2025</v>
      </c>
      <c r="C23" s="2" t="s">
        <v>2038</v>
      </c>
      <c r="D23" s="2">
        <v>1</v>
      </c>
      <c r="E23" s="2" t="s">
        <v>2039</v>
      </c>
      <c r="F23" s="2" t="s">
        <v>2054</v>
      </c>
    </row>
    <row r="24" spans="1:6" x14ac:dyDescent="0.3">
      <c r="A24" s="3">
        <v>45680</v>
      </c>
      <c r="B24" s="2">
        <v>2025</v>
      </c>
      <c r="C24" s="2" t="s">
        <v>2038</v>
      </c>
      <c r="D24" s="2">
        <v>1</v>
      </c>
      <c r="E24" s="2" t="s">
        <v>2039</v>
      </c>
      <c r="F24" s="2" t="s">
        <v>2054</v>
      </c>
    </row>
    <row r="25" spans="1:6" x14ac:dyDescent="0.3">
      <c r="A25" s="3">
        <v>45681</v>
      </c>
      <c r="B25" s="2">
        <v>2025</v>
      </c>
      <c r="C25" s="2" t="s">
        <v>2038</v>
      </c>
      <c r="D25" s="2">
        <v>1</v>
      </c>
      <c r="E25" s="2" t="s">
        <v>2039</v>
      </c>
      <c r="F25" s="2" t="s">
        <v>2054</v>
      </c>
    </row>
    <row r="26" spans="1:6" x14ac:dyDescent="0.3">
      <c r="A26" s="3">
        <v>45682</v>
      </c>
      <c r="B26" s="2">
        <v>2025</v>
      </c>
      <c r="C26" s="2" t="s">
        <v>2038</v>
      </c>
      <c r="D26" s="2">
        <v>1</v>
      </c>
      <c r="E26" s="2" t="s">
        <v>2039</v>
      </c>
      <c r="F26" s="2" t="s">
        <v>2054</v>
      </c>
    </row>
    <row r="27" spans="1:6" x14ac:dyDescent="0.3">
      <c r="A27" s="3">
        <v>45683</v>
      </c>
      <c r="B27" s="2">
        <v>2025</v>
      </c>
      <c r="C27" s="2" t="s">
        <v>2038</v>
      </c>
      <c r="D27" s="2">
        <v>1</v>
      </c>
      <c r="E27" s="2" t="s">
        <v>2039</v>
      </c>
      <c r="F27" s="2" t="s">
        <v>2054</v>
      </c>
    </row>
    <row r="28" spans="1:6" x14ac:dyDescent="0.3">
      <c r="A28" s="3">
        <v>45684</v>
      </c>
      <c r="B28" s="2">
        <v>2025</v>
      </c>
      <c r="C28" s="2" t="s">
        <v>2038</v>
      </c>
      <c r="D28" s="2">
        <v>1</v>
      </c>
      <c r="E28" s="2" t="s">
        <v>2039</v>
      </c>
      <c r="F28" s="2" t="s">
        <v>2054</v>
      </c>
    </row>
    <row r="29" spans="1:6" x14ac:dyDescent="0.3">
      <c r="A29" s="3">
        <v>45685</v>
      </c>
      <c r="B29" s="2">
        <v>2025</v>
      </c>
      <c r="C29" s="2" t="s">
        <v>2038</v>
      </c>
      <c r="D29" s="2">
        <v>1</v>
      </c>
      <c r="E29" s="2" t="s">
        <v>2039</v>
      </c>
      <c r="F29" s="2" t="s">
        <v>2054</v>
      </c>
    </row>
    <row r="30" spans="1:6" x14ac:dyDescent="0.3">
      <c r="A30" s="3">
        <v>45686</v>
      </c>
      <c r="B30" s="2">
        <v>2025</v>
      </c>
      <c r="C30" s="2" t="s">
        <v>2038</v>
      </c>
      <c r="D30" s="2">
        <v>1</v>
      </c>
      <c r="E30" s="2" t="s">
        <v>2039</v>
      </c>
      <c r="F30" s="2" t="s">
        <v>2054</v>
      </c>
    </row>
    <row r="31" spans="1:6" x14ac:dyDescent="0.3">
      <c r="A31" s="3">
        <v>45687</v>
      </c>
      <c r="B31" s="2">
        <v>2025</v>
      </c>
      <c r="C31" s="2" t="s">
        <v>2038</v>
      </c>
      <c r="D31" s="2">
        <v>1</v>
      </c>
      <c r="E31" s="2" t="s">
        <v>2039</v>
      </c>
      <c r="F31" s="2" t="s">
        <v>2054</v>
      </c>
    </row>
    <row r="32" spans="1:6" x14ac:dyDescent="0.3">
      <c r="A32" s="3">
        <v>45688</v>
      </c>
      <c r="B32" s="2">
        <v>2025</v>
      </c>
      <c r="C32" s="2" t="s">
        <v>2038</v>
      </c>
      <c r="D32" s="2">
        <v>1</v>
      </c>
      <c r="E32" s="2" t="s">
        <v>2039</v>
      </c>
      <c r="F32" s="2" t="s">
        <v>2054</v>
      </c>
    </row>
    <row r="33" spans="1:6" x14ac:dyDescent="0.3">
      <c r="A33" s="3">
        <v>45689</v>
      </c>
      <c r="B33" s="2">
        <v>2025</v>
      </c>
      <c r="C33" s="2" t="s">
        <v>2038</v>
      </c>
      <c r="D33" s="2">
        <v>2</v>
      </c>
      <c r="E33" s="2" t="s">
        <v>2040</v>
      </c>
      <c r="F33" s="2" t="s">
        <v>2055</v>
      </c>
    </row>
    <row r="34" spans="1:6" x14ac:dyDescent="0.3">
      <c r="A34" s="3">
        <v>45690</v>
      </c>
      <c r="B34" s="2">
        <v>2025</v>
      </c>
      <c r="C34" s="2" t="s">
        <v>2038</v>
      </c>
      <c r="D34" s="2">
        <v>2</v>
      </c>
      <c r="E34" s="2" t="s">
        <v>2040</v>
      </c>
      <c r="F34" s="2" t="s">
        <v>2055</v>
      </c>
    </row>
    <row r="35" spans="1:6" x14ac:dyDescent="0.3">
      <c r="A35" s="3">
        <v>45691</v>
      </c>
      <c r="B35" s="2">
        <v>2025</v>
      </c>
      <c r="C35" s="2" t="s">
        <v>2038</v>
      </c>
      <c r="D35" s="2">
        <v>2</v>
      </c>
      <c r="E35" s="2" t="s">
        <v>2040</v>
      </c>
      <c r="F35" s="2" t="s">
        <v>2055</v>
      </c>
    </row>
    <row r="36" spans="1:6" x14ac:dyDescent="0.3">
      <c r="A36" s="3">
        <v>45692</v>
      </c>
      <c r="B36" s="2">
        <v>2025</v>
      </c>
      <c r="C36" s="2" t="s">
        <v>2038</v>
      </c>
      <c r="D36" s="2">
        <v>2</v>
      </c>
      <c r="E36" s="2" t="s">
        <v>2040</v>
      </c>
      <c r="F36" s="2" t="s">
        <v>2055</v>
      </c>
    </row>
    <row r="37" spans="1:6" x14ac:dyDescent="0.3">
      <c r="A37" s="3">
        <v>45693</v>
      </c>
      <c r="B37" s="2">
        <v>2025</v>
      </c>
      <c r="C37" s="2" t="s">
        <v>2038</v>
      </c>
      <c r="D37" s="2">
        <v>2</v>
      </c>
      <c r="E37" s="2" t="s">
        <v>2040</v>
      </c>
      <c r="F37" s="2" t="s">
        <v>2055</v>
      </c>
    </row>
    <row r="38" spans="1:6" x14ac:dyDescent="0.3">
      <c r="A38" s="3">
        <v>45694</v>
      </c>
      <c r="B38" s="2">
        <v>2025</v>
      </c>
      <c r="C38" s="2" t="s">
        <v>2038</v>
      </c>
      <c r="D38" s="2">
        <v>2</v>
      </c>
      <c r="E38" s="2" t="s">
        <v>2040</v>
      </c>
      <c r="F38" s="2" t="s">
        <v>2055</v>
      </c>
    </row>
    <row r="39" spans="1:6" x14ac:dyDescent="0.3">
      <c r="A39" s="3">
        <v>45695</v>
      </c>
      <c r="B39" s="2">
        <v>2025</v>
      </c>
      <c r="C39" s="2" t="s">
        <v>2038</v>
      </c>
      <c r="D39" s="2">
        <v>2</v>
      </c>
      <c r="E39" s="2" t="s">
        <v>2040</v>
      </c>
      <c r="F39" s="2" t="s">
        <v>2055</v>
      </c>
    </row>
    <row r="40" spans="1:6" x14ac:dyDescent="0.3">
      <c r="A40" s="3">
        <v>45696</v>
      </c>
      <c r="B40" s="2">
        <v>2025</v>
      </c>
      <c r="C40" s="2" t="s">
        <v>2038</v>
      </c>
      <c r="D40" s="2">
        <v>2</v>
      </c>
      <c r="E40" s="2" t="s">
        <v>2040</v>
      </c>
      <c r="F40" s="2" t="s">
        <v>2055</v>
      </c>
    </row>
    <row r="41" spans="1:6" x14ac:dyDescent="0.3">
      <c r="A41" s="3">
        <v>45697</v>
      </c>
      <c r="B41" s="2">
        <v>2025</v>
      </c>
      <c r="C41" s="2" t="s">
        <v>2038</v>
      </c>
      <c r="D41" s="2">
        <v>2</v>
      </c>
      <c r="E41" s="2" t="s">
        <v>2040</v>
      </c>
      <c r="F41" s="2" t="s">
        <v>2055</v>
      </c>
    </row>
    <row r="42" spans="1:6" x14ac:dyDescent="0.3">
      <c r="A42" s="3">
        <v>45698</v>
      </c>
      <c r="B42" s="2">
        <v>2025</v>
      </c>
      <c r="C42" s="2" t="s">
        <v>2038</v>
      </c>
      <c r="D42" s="2">
        <v>2</v>
      </c>
      <c r="E42" s="2" t="s">
        <v>2040</v>
      </c>
      <c r="F42" s="2" t="s">
        <v>2055</v>
      </c>
    </row>
    <row r="43" spans="1:6" x14ac:dyDescent="0.3">
      <c r="A43" s="3">
        <v>45699</v>
      </c>
      <c r="B43" s="2">
        <v>2025</v>
      </c>
      <c r="C43" s="2" t="s">
        <v>2038</v>
      </c>
      <c r="D43" s="2">
        <v>2</v>
      </c>
      <c r="E43" s="2" t="s">
        <v>2040</v>
      </c>
      <c r="F43" s="2" t="s">
        <v>2055</v>
      </c>
    </row>
    <row r="44" spans="1:6" x14ac:dyDescent="0.3">
      <c r="A44" s="3">
        <v>45700</v>
      </c>
      <c r="B44" s="2">
        <v>2025</v>
      </c>
      <c r="C44" s="2" t="s">
        <v>2038</v>
      </c>
      <c r="D44" s="2">
        <v>2</v>
      </c>
      <c r="E44" s="2" t="s">
        <v>2040</v>
      </c>
      <c r="F44" s="2" t="s">
        <v>2055</v>
      </c>
    </row>
    <row r="45" spans="1:6" x14ac:dyDescent="0.3">
      <c r="A45" s="3">
        <v>45701</v>
      </c>
      <c r="B45" s="2">
        <v>2025</v>
      </c>
      <c r="C45" s="2" t="s">
        <v>2038</v>
      </c>
      <c r="D45" s="2">
        <v>2</v>
      </c>
      <c r="E45" s="2" t="s">
        <v>2040</v>
      </c>
      <c r="F45" s="2" t="s">
        <v>2055</v>
      </c>
    </row>
    <row r="46" spans="1:6" x14ac:dyDescent="0.3">
      <c r="A46" s="3">
        <v>45702</v>
      </c>
      <c r="B46" s="2">
        <v>2025</v>
      </c>
      <c r="C46" s="2" t="s">
        <v>2038</v>
      </c>
      <c r="D46" s="2">
        <v>2</v>
      </c>
      <c r="E46" s="2" t="s">
        <v>2040</v>
      </c>
      <c r="F46" s="2" t="s">
        <v>2055</v>
      </c>
    </row>
    <row r="47" spans="1:6" x14ac:dyDescent="0.3">
      <c r="A47" s="3">
        <v>45703</v>
      </c>
      <c r="B47" s="2">
        <v>2025</v>
      </c>
      <c r="C47" s="2" t="s">
        <v>2038</v>
      </c>
      <c r="D47" s="2">
        <v>2</v>
      </c>
      <c r="E47" s="2" t="s">
        <v>2040</v>
      </c>
      <c r="F47" s="2" t="s">
        <v>2055</v>
      </c>
    </row>
    <row r="48" spans="1:6" x14ac:dyDescent="0.3">
      <c r="A48" s="3">
        <v>45704</v>
      </c>
      <c r="B48" s="2">
        <v>2025</v>
      </c>
      <c r="C48" s="2" t="s">
        <v>2038</v>
      </c>
      <c r="D48" s="2">
        <v>2</v>
      </c>
      <c r="E48" s="2" t="s">
        <v>2040</v>
      </c>
      <c r="F48" s="2" t="s">
        <v>2055</v>
      </c>
    </row>
    <row r="49" spans="1:6" x14ac:dyDescent="0.3">
      <c r="A49" s="3">
        <v>45705</v>
      </c>
      <c r="B49" s="2">
        <v>2025</v>
      </c>
      <c r="C49" s="2" t="s">
        <v>2038</v>
      </c>
      <c r="D49" s="2">
        <v>2</v>
      </c>
      <c r="E49" s="2" t="s">
        <v>2040</v>
      </c>
      <c r="F49" s="2" t="s">
        <v>2055</v>
      </c>
    </row>
    <row r="50" spans="1:6" x14ac:dyDescent="0.3">
      <c r="A50" s="3">
        <v>45706</v>
      </c>
      <c r="B50" s="2">
        <v>2025</v>
      </c>
      <c r="C50" s="2" t="s">
        <v>2038</v>
      </c>
      <c r="D50" s="2">
        <v>2</v>
      </c>
      <c r="E50" s="2" t="s">
        <v>2040</v>
      </c>
      <c r="F50" s="2" t="s">
        <v>2055</v>
      </c>
    </row>
    <row r="51" spans="1:6" x14ac:dyDescent="0.3">
      <c r="A51" s="3">
        <v>45707</v>
      </c>
      <c r="B51" s="2">
        <v>2025</v>
      </c>
      <c r="C51" s="2" t="s">
        <v>2038</v>
      </c>
      <c r="D51" s="2">
        <v>2</v>
      </c>
      <c r="E51" s="2" t="s">
        <v>2040</v>
      </c>
      <c r="F51" s="2" t="s">
        <v>2055</v>
      </c>
    </row>
    <row r="52" spans="1:6" x14ac:dyDescent="0.3">
      <c r="A52" s="3">
        <v>45708</v>
      </c>
      <c r="B52" s="2">
        <v>2025</v>
      </c>
      <c r="C52" s="2" t="s">
        <v>2038</v>
      </c>
      <c r="D52" s="2">
        <v>2</v>
      </c>
      <c r="E52" s="2" t="s">
        <v>2040</v>
      </c>
      <c r="F52" s="2" t="s">
        <v>2055</v>
      </c>
    </row>
    <row r="53" spans="1:6" x14ac:dyDescent="0.3">
      <c r="A53" s="3">
        <v>45709</v>
      </c>
      <c r="B53" s="2">
        <v>2025</v>
      </c>
      <c r="C53" s="2" t="s">
        <v>2038</v>
      </c>
      <c r="D53" s="2">
        <v>2</v>
      </c>
      <c r="E53" s="2" t="s">
        <v>2040</v>
      </c>
      <c r="F53" s="2" t="s">
        <v>2055</v>
      </c>
    </row>
    <row r="54" spans="1:6" x14ac:dyDescent="0.3">
      <c r="A54" s="3">
        <v>45710</v>
      </c>
      <c r="B54" s="2">
        <v>2025</v>
      </c>
      <c r="C54" s="2" t="s">
        <v>2038</v>
      </c>
      <c r="D54" s="2">
        <v>2</v>
      </c>
      <c r="E54" s="2" t="s">
        <v>2040</v>
      </c>
      <c r="F54" s="2" t="s">
        <v>2055</v>
      </c>
    </row>
    <row r="55" spans="1:6" x14ac:dyDescent="0.3">
      <c r="A55" s="3">
        <v>45711</v>
      </c>
      <c r="B55" s="2">
        <v>2025</v>
      </c>
      <c r="C55" s="2" t="s">
        <v>2038</v>
      </c>
      <c r="D55" s="2">
        <v>2</v>
      </c>
      <c r="E55" s="2" t="s">
        <v>2040</v>
      </c>
      <c r="F55" s="2" t="s">
        <v>2055</v>
      </c>
    </row>
    <row r="56" spans="1:6" x14ac:dyDescent="0.3">
      <c r="A56" s="3">
        <v>45712</v>
      </c>
      <c r="B56" s="2">
        <v>2025</v>
      </c>
      <c r="C56" s="2" t="s">
        <v>2038</v>
      </c>
      <c r="D56" s="2">
        <v>2</v>
      </c>
      <c r="E56" s="2" t="s">
        <v>2040</v>
      </c>
      <c r="F56" s="2" t="s">
        <v>2055</v>
      </c>
    </row>
    <row r="57" spans="1:6" x14ac:dyDescent="0.3">
      <c r="A57" s="3">
        <v>45713</v>
      </c>
      <c r="B57" s="2">
        <v>2025</v>
      </c>
      <c r="C57" s="2" t="s">
        <v>2038</v>
      </c>
      <c r="D57" s="2">
        <v>2</v>
      </c>
      <c r="E57" s="2" t="s">
        <v>2040</v>
      </c>
      <c r="F57" s="2" t="s">
        <v>2055</v>
      </c>
    </row>
    <row r="58" spans="1:6" x14ac:dyDescent="0.3">
      <c r="A58" s="3">
        <v>45714</v>
      </c>
      <c r="B58" s="2">
        <v>2025</v>
      </c>
      <c r="C58" s="2" t="s">
        <v>2038</v>
      </c>
      <c r="D58" s="2">
        <v>2</v>
      </c>
      <c r="E58" s="2" t="s">
        <v>2040</v>
      </c>
      <c r="F58" s="2" t="s">
        <v>2055</v>
      </c>
    </row>
    <row r="59" spans="1:6" x14ac:dyDescent="0.3">
      <c r="A59" s="3">
        <v>45715</v>
      </c>
      <c r="B59" s="2">
        <v>2025</v>
      </c>
      <c r="C59" s="2" t="s">
        <v>2038</v>
      </c>
      <c r="D59" s="2">
        <v>2</v>
      </c>
      <c r="E59" s="2" t="s">
        <v>2040</v>
      </c>
      <c r="F59" s="2" t="s">
        <v>2055</v>
      </c>
    </row>
    <row r="60" spans="1:6" x14ac:dyDescent="0.3">
      <c r="A60" s="3">
        <v>45716</v>
      </c>
      <c r="B60" s="2">
        <v>2025</v>
      </c>
      <c r="C60" s="2" t="s">
        <v>2038</v>
      </c>
      <c r="D60" s="2">
        <v>2</v>
      </c>
      <c r="E60" s="2" t="s">
        <v>2040</v>
      </c>
      <c r="F60" s="2" t="s">
        <v>2055</v>
      </c>
    </row>
    <row r="61" spans="1:6" x14ac:dyDescent="0.3">
      <c r="A61" s="3">
        <v>45717</v>
      </c>
      <c r="B61" s="2">
        <v>2025</v>
      </c>
      <c r="C61" s="2" t="s">
        <v>2038</v>
      </c>
      <c r="D61" s="2">
        <v>3</v>
      </c>
      <c r="E61" s="2" t="s">
        <v>2041</v>
      </c>
      <c r="F61" s="2" t="s">
        <v>2056</v>
      </c>
    </row>
    <row r="62" spans="1:6" x14ac:dyDescent="0.3">
      <c r="A62" s="3">
        <v>45718</v>
      </c>
      <c r="B62" s="2">
        <v>2025</v>
      </c>
      <c r="C62" s="2" t="s">
        <v>2038</v>
      </c>
      <c r="D62" s="2">
        <v>3</v>
      </c>
      <c r="E62" s="2" t="s">
        <v>2041</v>
      </c>
      <c r="F62" s="2" t="s">
        <v>2056</v>
      </c>
    </row>
    <row r="63" spans="1:6" x14ac:dyDescent="0.3">
      <c r="A63" s="3">
        <v>45719</v>
      </c>
      <c r="B63" s="2">
        <v>2025</v>
      </c>
      <c r="C63" s="2" t="s">
        <v>2038</v>
      </c>
      <c r="D63" s="2">
        <v>3</v>
      </c>
      <c r="E63" s="2" t="s">
        <v>2041</v>
      </c>
      <c r="F63" s="2" t="s">
        <v>2056</v>
      </c>
    </row>
    <row r="64" spans="1:6" x14ac:dyDescent="0.3">
      <c r="A64" s="3">
        <v>45720</v>
      </c>
      <c r="B64" s="2">
        <v>2025</v>
      </c>
      <c r="C64" s="2" t="s">
        <v>2038</v>
      </c>
      <c r="D64" s="2">
        <v>3</v>
      </c>
      <c r="E64" s="2" t="s">
        <v>2041</v>
      </c>
      <c r="F64" s="2" t="s">
        <v>2056</v>
      </c>
    </row>
    <row r="65" spans="1:6" x14ac:dyDescent="0.3">
      <c r="A65" s="3">
        <v>45721</v>
      </c>
      <c r="B65" s="2">
        <v>2025</v>
      </c>
      <c r="C65" s="2" t="s">
        <v>2038</v>
      </c>
      <c r="D65" s="2">
        <v>3</v>
      </c>
      <c r="E65" s="2" t="s">
        <v>2041</v>
      </c>
      <c r="F65" s="2" t="s">
        <v>2056</v>
      </c>
    </row>
    <row r="66" spans="1:6" x14ac:dyDescent="0.3">
      <c r="A66" s="3">
        <v>45722</v>
      </c>
      <c r="B66" s="2">
        <v>2025</v>
      </c>
      <c r="C66" s="2" t="s">
        <v>2038</v>
      </c>
      <c r="D66" s="2">
        <v>3</v>
      </c>
      <c r="E66" s="2" t="s">
        <v>2041</v>
      </c>
      <c r="F66" s="2" t="s">
        <v>2056</v>
      </c>
    </row>
    <row r="67" spans="1:6" x14ac:dyDescent="0.3">
      <c r="A67" s="3">
        <v>45723</v>
      </c>
      <c r="B67" s="2">
        <v>2025</v>
      </c>
      <c r="C67" s="2" t="s">
        <v>2038</v>
      </c>
      <c r="D67" s="2">
        <v>3</v>
      </c>
      <c r="E67" s="2" t="s">
        <v>2041</v>
      </c>
      <c r="F67" s="2" t="s">
        <v>2056</v>
      </c>
    </row>
    <row r="68" spans="1:6" x14ac:dyDescent="0.3">
      <c r="A68" s="3">
        <v>45724</v>
      </c>
      <c r="B68" s="2">
        <v>2025</v>
      </c>
      <c r="C68" s="2" t="s">
        <v>2038</v>
      </c>
      <c r="D68" s="2">
        <v>3</v>
      </c>
      <c r="E68" s="2" t="s">
        <v>2041</v>
      </c>
      <c r="F68" s="2" t="s">
        <v>2056</v>
      </c>
    </row>
    <row r="69" spans="1:6" x14ac:dyDescent="0.3">
      <c r="A69" s="3">
        <v>45725</v>
      </c>
      <c r="B69" s="2">
        <v>2025</v>
      </c>
      <c r="C69" s="2" t="s">
        <v>2038</v>
      </c>
      <c r="D69" s="2">
        <v>3</v>
      </c>
      <c r="E69" s="2" t="s">
        <v>2041</v>
      </c>
      <c r="F69" s="2" t="s">
        <v>2056</v>
      </c>
    </row>
    <row r="70" spans="1:6" x14ac:dyDescent="0.3">
      <c r="A70" s="3">
        <v>45726</v>
      </c>
      <c r="B70" s="2">
        <v>2025</v>
      </c>
      <c r="C70" s="2" t="s">
        <v>2038</v>
      </c>
      <c r="D70" s="2">
        <v>3</v>
      </c>
      <c r="E70" s="2" t="s">
        <v>2041</v>
      </c>
      <c r="F70" s="2" t="s">
        <v>2056</v>
      </c>
    </row>
    <row r="71" spans="1:6" x14ac:dyDescent="0.3">
      <c r="A71" s="3">
        <v>45727</v>
      </c>
      <c r="B71" s="2">
        <v>2025</v>
      </c>
      <c r="C71" s="2" t="s">
        <v>2038</v>
      </c>
      <c r="D71" s="2">
        <v>3</v>
      </c>
      <c r="E71" s="2" t="s">
        <v>2041</v>
      </c>
      <c r="F71" s="2" t="s">
        <v>2056</v>
      </c>
    </row>
    <row r="72" spans="1:6" x14ac:dyDescent="0.3">
      <c r="A72" s="3">
        <v>45728</v>
      </c>
      <c r="B72" s="2">
        <v>2025</v>
      </c>
      <c r="C72" s="2" t="s">
        <v>2038</v>
      </c>
      <c r="D72" s="2">
        <v>3</v>
      </c>
      <c r="E72" s="2" t="s">
        <v>2041</v>
      </c>
      <c r="F72" s="2" t="s">
        <v>2056</v>
      </c>
    </row>
    <row r="73" spans="1:6" x14ac:dyDescent="0.3">
      <c r="A73" s="3">
        <v>45729</v>
      </c>
      <c r="B73" s="2">
        <v>2025</v>
      </c>
      <c r="C73" s="2" t="s">
        <v>2038</v>
      </c>
      <c r="D73" s="2">
        <v>3</v>
      </c>
      <c r="E73" s="2" t="s">
        <v>2041</v>
      </c>
      <c r="F73" s="2" t="s">
        <v>2056</v>
      </c>
    </row>
    <row r="74" spans="1:6" x14ac:dyDescent="0.3">
      <c r="A74" s="3">
        <v>45730</v>
      </c>
      <c r="B74" s="2">
        <v>2025</v>
      </c>
      <c r="C74" s="2" t="s">
        <v>2038</v>
      </c>
      <c r="D74" s="2">
        <v>3</v>
      </c>
      <c r="E74" s="2" t="s">
        <v>2041</v>
      </c>
      <c r="F74" s="2" t="s">
        <v>2056</v>
      </c>
    </row>
    <row r="75" spans="1:6" x14ac:dyDescent="0.3">
      <c r="A75" s="3">
        <v>45731</v>
      </c>
      <c r="B75" s="2">
        <v>2025</v>
      </c>
      <c r="C75" s="2" t="s">
        <v>2038</v>
      </c>
      <c r="D75" s="2">
        <v>3</v>
      </c>
      <c r="E75" s="2" t="s">
        <v>2041</v>
      </c>
      <c r="F75" s="2" t="s">
        <v>2056</v>
      </c>
    </row>
    <row r="76" spans="1:6" x14ac:dyDescent="0.3">
      <c r="A76" s="3">
        <v>45732</v>
      </c>
      <c r="B76" s="2">
        <v>2025</v>
      </c>
      <c r="C76" s="2" t="s">
        <v>2038</v>
      </c>
      <c r="D76" s="2">
        <v>3</v>
      </c>
      <c r="E76" s="2" t="s">
        <v>2041</v>
      </c>
      <c r="F76" s="2" t="s">
        <v>2056</v>
      </c>
    </row>
    <row r="77" spans="1:6" x14ac:dyDescent="0.3">
      <c r="A77" s="3">
        <v>45733</v>
      </c>
      <c r="B77" s="2">
        <v>2025</v>
      </c>
      <c r="C77" s="2" t="s">
        <v>2038</v>
      </c>
      <c r="D77" s="2">
        <v>3</v>
      </c>
      <c r="E77" s="2" t="s">
        <v>2041</v>
      </c>
      <c r="F77" s="2" t="s">
        <v>2056</v>
      </c>
    </row>
    <row r="78" spans="1:6" x14ac:dyDescent="0.3">
      <c r="A78" s="3">
        <v>45734</v>
      </c>
      <c r="B78" s="2">
        <v>2025</v>
      </c>
      <c r="C78" s="2" t="s">
        <v>2038</v>
      </c>
      <c r="D78" s="2">
        <v>3</v>
      </c>
      <c r="E78" s="2" t="s">
        <v>2041</v>
      </c>
      <c r="F78" s="2" t="s">
        <v>2056</v>
      </c>
    </row>
    <row r="79" spans="1:6" x14ac:dyDescent="0.3">
      <c r="A79" s="3">
        <v>45735</v>
      </c>
      <c r="B79" s="2">
        <v>2025</v>
      </c>
      <c r="C79" s="2" t="s">
        <v>2038</v>
      </c>
      <c r="D79" s="2">
        <v>3</v>
      </c>
      <c r="E79" s="2" t="s">
        <v>2041</v>
      </c>
      <c r="F79" s="2" t="s">
        <v>2056</v>
      </c>
    </row>
    <row r="80" spans="1:6" x14ac:dyDescent="0.3">
      <c r="A80" s="3">
        <v>45736</v>
      </c>
      <c r="B80" s="2">
        <v>2025</v>
      </c>
      <c r="C80" s="2" t="s">
        <v>2038</v>
      </c>
      <c r="D80" s="2">
        <v>3</v>
      </c>
      <c r="E80" s="2" t="s">
        <v>2041</v>
      </c>
      <c r="F80" s="2" t="s">
        <v>2056</v>
      </c>
    </row>
    <row r="81" spans="1:6" x14ac:dyDescent="0.3">
      <c r="A81" s="3">
        <v>45737</v>
      </c>
      <c r="B81" s="2">
        <v>2025</v>
      </c>
      <c r="C81" s="2" t="s">
        <v>2038</v>
      </c>
      <c r="D81" s="2">
        <v>3</v>
      </c>
      <c r="E81" s="2" t="s">
        <v>2041</v>
      </c>
      <c r="F81" s="2" t="s">
        <v>2056</v>
      </c>
    </row>
    <row r="82" spans="1:6" x14ac:dyDescent="0.3">
      <c r="A82" s="3">
        <v>45738</v>
      </c>
      <c r="B82" s="2">
        <v>2025</v>
      </c>
      <c r="C82" s="2" t="s">
        <v>2038</v>
      </c>
      <c r="D82" s="2">
        <v>3</v>
      </c>
      <c r="E82" s="2" t="s">
        <v>2041</v>
      </c>
      <c r="F82" s="2" t="s">
        <v>2056</v>
      </c>
    </row>
    <row r="83" spans="1:6" x14ac:dyDescent="0.3">
      <c r="A83" s="3">
        <v>45739</v>
      </c>
      <c r="B83" s="2">
        <v>2025</v>
      </c>
      <c r="C83" s="2" t="s">
        <v>2038</v>
      </c>
      <c r="D83" s="2">
        <v>3</v>
      </c>
      <c r="E83" s="2" t="s">
        <v>2041</v>
      </c>
      <c r="F83" s="2" t="s">
        <v>2056</v>
      </c>
    </row>
    <row r="84" spans="1:6" x14ac:dyDescent="0.3">
      <c r="A84" s="3">
        <v>45740</v>
      </c>
      <c r="B84" s="2">
        <v>2025</v>
      </c>
      <c r="C84" s="2" t="s">
        <v>2038</v>
      </c>
      <c r="D84" s="2">
        <v>3</v>
      </c>
      <c r="E84" s="2" t="s">
        <v>2041</v>
      </c>
      <c r="F84" s="2" t="s">
        <v>2056</v>
      </c>
    </row>
    <row r="85" spans="1:6" x14ac:dyDescent="0.3">
      <c r="A85" s="3">
        <v>45741</v>
      </c>
      <c r="B85" s="2">
        <v>2025</v>
      </c>
      <c r="C85" s="2" t="s">
        <v>2038</v>
      </c>
      <c r="D85" s="2">
        <v>3</v>
      </c>
      <c r="E85" s="2" t="s">
        <v>2041</v>
      </c>
      <c r="F85" s="2" t="s">
        <v>2056</v>
      </c>
    </row>
    <row r="86" spans="1:6" x14ac:dyDescent="0.3">
      <c r="A86" s="3">
        <v>45742</v>
      </c>
      <c r="B86" s="2">
        <v>2025</v>
      </c>
      <c r="C86" s="2" t="s">
        <v>2038</v>
      </c>
      <c r="D86" s="2">
        <v>3</v>
      </c>
      <c r="E86" s="2" t="s">
        <v>2041</v>
      </c>
      <c r="F86" s="2" t="s">
        <v>2056</v>
      </c>
    </row>
    <row r="87" spans="1:6" x14ac:dyDescent="0.3">
      <c r="A87" s="3">
        <v>45743</v>
      </c>
      <c r="B87" s="2">
        <v>2025</v>
      </c>
      <c r="C87" s="2" t="s">
        <v>2038</v>
      </c>
      <c r="D87" s="2">
        <v>3</v>
      </c>
      <c r="E87" s="2" t="s">
        <v>2041</v>
      </c>
      <c r="F87" s="2" t="s">
        <v>2056</v>
      </c>
    </row>
    <row r="88" spans="1:6" x14ac:dyDescent="0.3">
      <c r="A88" s="3">
        <v>45744</v>
      </c>
      <c r="B88" s="2">
        <v>2025</v>
      </c>
      <c r="C88" s="2" t="s">
        <v>2038</v>
      </c>
      <c r="D88" s="2">
        <v>3</v>
      </c>
      <c r="E88" s="2" t="s">
        <v>2041</v>
      </c>
      <c r="F88" s="2" t="s">
        <v>2056</v>
      </c>
    </row>
    <row r="89" spans="1:6" x14ac:dyDescent="0.3">
      <c r="A89" s="3">
        <v>45745</v>
      </c>
      <c r="B89" s="2">
        <v>2025</v>
      </c>
      <c r="C89" s="2" t="s">
        <v>2038</v>
      </c>
      <c r="D89" s="2">
        <v>3</v>
      </c>
      <c r="E89" s="2" t="s">
        <v>2041</v>
      </c>
      <c r="F89" s="2" t="s">
        <v>2056</v>
      </c>
    </row>
    <row r="90" spans="1:6" x14ac:dyDescent="0.3">
      <c r="A90" s="3">
        <v>45746</v>
      </c>
      <c r="B90" s="2">
        <v>2025</v>
      </c>
      <c r="C90" s="2" t="s">
        <v>2038</v>
      </c>
      <c r="D90" s="2">
        <v>3</v>
      </c>
      <c r="E90" s="2" t="s">
        <v>2041</v>
      </c>
      <c r="F90" s="2" t="s">
        <v>2056</v>
      </c>
    </row>
    <row r="91" spans="1:6" x14ac:dyDescent="0.3">
      <c r="A91" s="3">
        <v>45747</v>
      </c>
      <c r="B91" s="2">
        <v>2025</v>
      </c>
      <c r="C91" s="2" t="s">
        <v>2038</v>
      </c>
      <c r="D91" s="2">
        <v>3</v>
      </c>
      <c r="E91" s="2" t="s">
        <v>2041</v>
      </c>
      <c r="F91" s="2" t="s">
        <v>2056</v>
      </c>
    </row>
    <row r="92" spans="1:6" x14ac:dyDescent="0.3">
      <c r="A92" s="3">
        <v>45748</v>
      </c>
      <c r="B92" s="2">
        <v>2025</v>
      </c>
      <c r="C92" s="2" t="s">
        <v>2042</v>
      </c>
      <c r="D92" s="2">
        <v>4</v>
      </c>
      <c r="E92" s="2" t="s">
        <v>2043</v>
      </c>
      <c r="F92" s="2" t="s">
        <v>2057</v>
      </c>
    </row>
    <row r="93" spans="1:6" x14ac:dyDescent="0.3">
      <c r="A93" s="3">
        <v>45749</v>
      </c>
      <c r="B93" s="2">
        <v>2025</v>
      </c>
      <c r="C93" s="2" t="s">
        <v>2042</v>
      </c>
      <c r="D93" s="2">
        <v>4</v>
      </c>
      <c r="E93" s="2" t="s">
        <v>2043</v>
      </c>
      <c r="F93" s="2" t="s">
        <v>2057</v>
      </c>
    </row>
    <row r="94" spans="1:6" x14ac:dyDescent="0.3">
      <c r="A94" s="3">
        <v>45750</v>
      </c>
      <c r="B94" s="2">
        <v>2025</v>
      </c>
      <c r="C94" s="2" t="s">
        <v>2042</v>
      </c>
      <c r="D94" s="2">
        <v>4</v>
      </c>
      <c r="E94" s="2" t="s">
        <v>2043</v>
      </c>
      <c r="F94" s="2" t="s">
        <v>2057</v>
      </c>
    </row>
    <row r="95" spans="1:6" x14ac:dyDescent="0.3">
      <c r="A95" s="3">
        <v>45751</v>
      </c>
      <c r="B95" s="2">
        <v>2025</v>
      </c>
      <c r="C95" s="2" t="s">
        <v>2042</v>
      </c>
      <c r="D95" s="2">
        <v>4</v>
      </c>
      <c r="E95" s="2" t="s">
        <v>2043</v>
      </c>
      <c r="F95" s="2" t="s">
        <v>2057</v>
      </c>
    </row>
    <row r="96" spans="1:6" x14ac:dyDescent="0.3">
      <c r="A96" s="3">
        <v>45752</v>
      </c>
      <c r="B96" s="2">
        <v>2025</v>
      </c>
      <c r="C96" s="2" t="s">
        <v>2042</v>
      </c>
      <c r="D96" s="2">
        <v>4</v>
      </c>
      <c r="E96" s="2" t="s">
        <v>2043</v>
      </c>
      <c r="F96" s="2" t="s">
        <v>2057</v>
      </c>
    </row>
    <row r="97" spans="1:6" x14ac:dyDescent="0.3">
      <c r="A97" s="3">
        <v>45753</v>
      </c>
      <c r="B97" s="2">
        <v>2025</v>
      </c>
      <c r="C97" s="2" t="s">
        <v>2042</v>
      </c>
      <c r="D97" s="2">
        <v>4</v>
      </c>
      <c r="E97" s="2" t="s">
        <v>2043</v>
      </c>
      <c r="F97" s="2" t="s">
        <v>2057</v>
      </c>
    </row>
    <row r="98" spans="1:6" x14ac:dyDescent="0.3">
      <c r="A98" s="3">
        <v>45754</v>
      </c>
      <c r="B98" s="2">
        <v>2025</v>
      </c>
      <c r="C98" s="2" t="s">
        <v>2042</v>
      </c>
      <c r="D98" s="2">
        <v>4</v>
      </c>
      <c r="E98" s="2" t="s">
        <v>2043</v>
      </c>
      <c r="F98" s="2" t="s">
        <v>2057</v>
      </c>
    </row>
    <row r="99" spans="1:6" x14ac:dyDescent="0.3">
      <c r="A99" s="3">
        <v>45755</v>
      </c>
      <c r="B99" s="2">
        <v>2025</v>
      </c>
      <c r="C99" s="2" t="s">
        <v>2042</v>
      </c>
      <c r="D99" s="2">
        <v>4</v>
      </c>
      <c r="E99" s="2" t="s">
        <v>2043</v>
      </c>
      <c r="F99" s="2" t="s">
        <v>2057</v>
      </c>
    </row>
    <row r="100" spans="1:6" x14ac:dyDescent="0.3">
      <c r="A100" s="3">
        <v>45756</v>
      </c>
      <c r="B100" s="2">
        <v>2025</v>
      </c>
      <c r="C100" s="2" t="s">
        <v>2042</v>
      </c>
      <c r="D100" s="2">
        <v>4</v>
      </c>
      <c r="E100" s="2" t="s">
        <v>2043</v>
      </c>
      <c r="F100" s="2" t="s">
        <v>2057</v>
      </c>
    </row>
    <row r="101" spans="1:6" x14ac:dyDescent="0.3">
      <c r="A101" s="3">
        <v>45757</v>
      </c>
      <c r="B101" s="2">
        <v>2025</v>
      </c>
      <c r="C101" s="2" t="s">
        <v>2042</v>
      </c>
      <c r="D101" s="2">
        <v>4</v>
      </c>
      <c r="E101" s="2" t="s">
        <v>2043</v>
      </c>
      <c r="F101" s="2" t="s">
        <v>2057</v>
      </c>
    </row>
    <row r="102" spans="1:6" x14ac:dyDescent="0.3">
      <c r="A102" s="3">
        <v>45758</v>
      </c>
      <c r="B102" s="2">
        <v>2025</v>
      </c>
      <c r="C102" s="2" t="s">
        <v>2042</v>
      </c>
      <c r="D102" s="2">
        <v>4</v>
      </c>
      <c r="E102" s="2" t="s">
        <v>2043</v>
      </c>
      <c r="F102" s="2" t="s">
        <v>2057</v>
      </c>
    </row>
    <row r="103" spans="1:6" x14ac:dyDescent="0.3">
      <c r="A103" s="3">
        <v>45759</v>
      </c>
      <c r="B103" s="2">
        <v>2025</v>
      </c>
      <c r="C103" s="2" t="s">
        <v>2042</v>
      </c>
      <c r="D103" s="2">
        <v>4</v>
      </c>
      <c r="E103" s="2" t="s">
        <v>2043</v>
      </c>
      <c r="F103" s="2" t="s">
        <v>2057</v>
      </c>
    </row>
    <row r="104" spans="1:6" x14ac:dyDescent="0.3">
      <c r="A104" s="3">
        <v>45760</v>
      </c>
      <c r="B104" s="2">
        <v>2025</v>
      </c>
      <c r="C104" s="2" t="s">
        <v>2042</v>
      </c>
      <c r="D104" s="2">
        <v>4</v>
      </c>
      <c r="E104" s="2" t="s">
        <v>2043</v>
      </c>
      <c r="F104" s="2" t="s">
        <v>2057</v>
      </c>
    </row>
    <row r="105" spans="1:6" x14ac:dyDescent="0.3">
      <c r="A105" s="3">
        <v>45761</v>
      </c>
      <c r="B105" s="2">
        <v>2025</v>
      </c>
      <c r="C105" s="2" t="s">
        <v>2042</v>
      </c>
      <c r="D105" s="2">
        <v>4</v>
      </c>
      <c r="E105" s="2" t="s">
        <v>2043</v>
      </c>
      <c r="F105" s="2" t="s">
        <v>2057</v>
      </c>
    </row>
    <row r="106" spans="1:6" x14ac:dyDescent="0.3">
      <c r="A106" s="3">
        <v>45762</v>
      </c>
      <c r="B106" s="2">
        <v>2025</v>
      </c>
      <c r="C106" s="2" t="s">
        <v>2042</v>
      </c>
      <c r="D106" s="2">
        <v>4</v>
      </c>
      <c r="E106" s="2" t="s">
        <v>2043</v>
      </c>
      <c r="F106" s="2" t="s">
        <v>2057</v>
      </c>
    </row>
    <row r="107" spans="1:6" x14ac:dyDescent="0.3">
      <c r="A107" s="3">
        <v>45763</v>
      </c>
      <c r="B107" s="2">
        <v>2025</v>
      </c>
      <c r="C107" s="2" t="s">
        <v>2042</v>
      </c>
      <c r="D107" s="2">
        <v>4</v>
      </c>
      <c r="E107" s="2" t="s">
        <v>2043</v>
      </c>
      <c r="F107" s="2" t="s">
        <v>2057</v>
      </c>
    </row>
    <row r="108" spans="1:6" x14ac:dyDescent="0.3">
      <c r="A108" s="3">
        <v>45764</v>
      </c>
      <c r="B108" s="2">
        <v>2025</v>
      </c>
      <c r="C108" s="2" t="s">
        <v>2042</v>
      </c>
      <c r="D108" s="2">
        <v>4</v>
      </c>
      <c r="E108" s="2" t="s">
        <v>2043</v>
      </c>
      <c r="F108" s="2" t="s">
        <v>2057</v>
      </c>
    </row>
    <row r="109" spans="1:6" x14ac:dyDescent="0.3">
      <c r="A109" s="3">
        <v>45765</v>
      </c>
      <c r="B109" s="2">
        <v>2025</v>
      </c>
      <c r="C109" s="2" t="s">
        <v>2042</v>
      </c>
      <c r="D109" s="2">
        <v>4</v>
      </c>
      <c r="E109" s="2" t="s">
        <v>2043</v>
      </c>
      <c r="F109" s="2" t="s">
        <v>2057</v>
      </c>
    </row>
    <row r="110" spans="1:6" x14ac:dyDescent="0.3">
      <c r="A110" s="3">
        <v>45766</v>
      </c>
      <c r="B110" s="2">
        <v>2025</v>
      </c>
      <c r="C110" s="2" t="s">
        <v>2042</v>
      </c>
      <c r="D110" s="2">
        <v>4</v>
      </c>
      <c r="E110" s="2" t="s">
        <v>2043</v>
      </c>
      <c r="F110" s="2" t="s">
        <v>2057</v>
      </c>
    </row>
    <row r="111" spans="1:6" x14ac:dyDescent="0.3">
      <c r="A111" s="3">
        <v>45767</v>
      </c>
      <c r="B111" s="2">
        <v>2025</v>
      </c>
      <c r="C111" s="2" t="s">
        <v>2042</v>
      </c>
      <c r="D111" s="2">
        <v>4</v>
      </c>
      <c r="E111" s="2" t="s">
        <v>2043</v>
      </c>
      <c r="F111" s="2" t="s">
        <v>2057</v>
      </c>
    </row>
    <row r="112" spans="1:6" x14ac:dyDescent="0.3">
      <c r="A112" s="3">
        <v>45768</v>
      </c>
      <c r="B112" s="2">
        <v>2025</v>
      </c>
      <c r="C112" s="2" t="s">
        <v>2042</v>
      </c>
      <c r="D112" s="2">
        <v>4</v>
      </c>
      <c r="E112" s="2" t="s">
        <v>2043</v>
      </c>
      <c r="F112" s="2" t="s">
        <v>2057</v>
      </c>
    </row>
    <row r="113" spans="1:6" x14ac:dyDescent="0.3">
      <c r="A113" s="3">
        <v>45769</v>
      </c>
      <c r="B113" s="2">
        <v>2025</v>
      </c>
      <c r="C113" s="2" t="s">
        <v>2042</v>
      </c>
      <c r="D113" s="2">
        <v>4</v>
      </c>
      <c r="E113" s="2" t="s">
        <v>2043</v>
      </c>
      <c r="F113" s="2" t="s">
        <v>2057</v>
      </c>
    </row>
    <row r="114" spans="1:6" x14ac:dyDescent="0.3">
      <c r="A114" s="3">
        <v>45770</v>
      </c>
      <c r="B114" s="2">
        <v>2025</v>
      </c>
      <c r="C114" s="2" t="s">
        <v>2042</v>
      </c>
      <c r="D114" s="2">
        <v>4</v>
      </c>
      <c r="E114" s="2" t="s">
        <v>2043</v>
      </c>
      <c r="F114" s="2" t="s">
        <v>2057</v>
      </c>
    </row>
    <row r="115" spans="1:6" x14ac:dyDescent="0.3">
      <c r="A115" s="3">
        <v>45771</v>
      </c>
      <c r="B115" s="2">
        <v>2025</v>
      </c>
      <c r="C115" s="2" t="s">
        <v>2042</v>
      </c>
      <c r="D115" s="2">
        <v>4</v>
      </c>
      <c r="E115" s="2" t="s">
        <v>2043</v>
      </c>
      <c r="F115" s="2" t="s">
        <v>2057</v>
      </c>
    </row>
    <row r="116" spans="1:6" x14ac:dyDescent="0.3">
      <c r="A116" s="3">
        <v>45772</v>
      </c>
      <c r="B116" s="2">
        <v>2025</v>
      </c>
      <c r="C116" s="2" t="s">
        <v>2042</v>
      </c>
      <c r="D116" s="2">
        <v>4</v>
      </c>
      <c r="E116" s="2" t="s">
        <v>2043</v>
      </c>
      <c r="F116" s="2" t="s">
        <v>2057</v>
      </c>
    </row>
    <row r="117" spans="1:6" x14ac:dyDescent="0.3">
      <c r="A117" s="3">
        <v>45773</v>
      </c>
      <c r="B117" s="2">
        <v>2025</v>
      </c>
      <c r="C117" s="2" t="s">
        <v>2042</v>
      </c>
      <c r="D117" s="2">
        <v>4</v>
      </c>
      <c r="E117" s="2" t="s">
        <v>2043</v>
      </c>
      <c r="F117" s="2" t="s">
        <v>2057</v>
      </c>
    </row>
    <row r="118" spans="1:6" x14ac:dyDescent="0.3">
      <c r="A118" s="3">
        <v>45774</v>
      </c>
      <c r="B118" s="2">
        <v>2025</v>
      </c>
      <c r="C118" s="2" t="s">
        <v>2042</v>
      </c>
      <c r="D118" s="2">
        <v>4</v>
      </c>
      <c r="E118" s="2" t="s">
        <v>2043</v>
      </c>
      <c r="F118" s="2" t="s">
        <v>2057</v>
      </c>
    </row>
    <row r="119" spans="1:6" x14ac:dyDescent="0.3">
      <c r="A119" s="3">
        <v>45775</v>
      </c>
      <c r="B119" s="2">
        <v>2025</v>
      </c>
      <c r="C119" s="2" t="s">
        <v>2042</v>
      </c>
      <c r="D119" s="2">
        <v>4</v>
      </c>
      <c r="E119" s="2" t="s">
        <v>2043</v>
      </c>
      <c r="F119" s="2" t="s">
        <v>2057</v>
      </c>
    </row>
    <row r="120" spans="1:6" x14ac:dyDescent="0.3">
      <c r="A120" s="3">
        <v>45776</v>
      </c>
      <c r="B120" s="2">
        <v>2025</v>
      </c>
      <c r="C120" s="2" t="s">
        <v>2042</v>
      </c>
      <c r="D120" s="2">
        <v>4</v>
      </c>
      <c r="E120" s="2" t="s">
        <v>2043</v>
      </c>
      <c r="F120" s="2" t="s">
        <v>2057</v>
      </c>
    </row>
    <row r="121" spans="1:6" x14ac:dyDescent="0.3">
      <c r="A121" s="3">
        <v>45777</v>
      </c>
      <c r="B121" s="2">
        <v>2025</v>
      </c>
      <c r="C121" s="2" t="s">
        <v>2042</v>
      </c>
      <c r="D121" s="2">
        <v>4</v>
      </c>
      <c r="E121" s="2" t="s">
        <v>2043</v>
      </c>
      <c r="F121" s="2" t="s">
        <v>2057</v>
      </c>
    </row>
    <row r="122" spans="1:6" x14ac:dyDescent="0.3">
      <c r="A122" s="3">
        <v>45778</v>
      </c>
      <c r="B122" s="2">
        <v>2025</v>
      </c>
      <c r="C122" s="2" t="s">
        <v>2042</v>
      </c>
      <c r="D122" s="2">
        <v>5</v>
      </c>
      <c r="E122" s="2" t="s">
        <v>2044</v>
      </c>
      <c r="F122" s="2" t="s">
        <v>2058</v>
      </c>
    </row>
    <row r="123" spans="1:6" x14ac:dyDescent="0.3">
      <c r="A123" s="3">
        <v>45779</v>
      </c>
      <c r="B123" s="2">
        <v>2025</v>
      </c>
      <c r="C123" s="2" t="s">
        <v>2042</v>
      </c>
      <c r="D123" s="2">
        <v>5</v>
      </c>
      <c r="E123" s="2" t="s">
        <v>2044</v>
      </c>
      <c r="F123" s="2" t="s">
        <v>2058</v>
      </c>
    </row>
    <row r="124" spans="1:6" x14ac:dyDescent="0.3">
      <c r="A124" s="3">
        <v>45780</v>
      </c>
      <c r="B124" s="2">
        <v>2025</v>
      </c>
      <c r="C124" s="2" t="s">
        <v>2042</v>
      </c>
      <c r="D124" s="2">
        <v>5</v>
      </c>
      <c r="E124" s="2" t="s">
        <v>2044</v>
      </c>
      <c r="F124" s="2" t="s">
        <v>2058</v>
      </c>
    </row>
    <row r="125" spans="1:6" x14ac:dyDescent="0.3">
      <c r="A125" s="3">
        <v>45781</v>
      </c>
      <c r="B125" s="2">
        <v>2025</v>
      </c>
      <c r="C125" s="2" t="s">
        <v>2042</v>
      </c>
      <c r="D125" s="2">
        <v>5</v>
      </c>
      <c r="E125" s="2" t="s">
        <v>2044</v>
      </c>
      <c r="F125" s="2" t="s">
        <v>2058</v>
      </c>
    </row>
    <row r="126" spans="1:6" x14ac:dyDescent="0.3">
      <c r="A126" s="3">
        <v>45782</v>
      </c>
      <c r="B126" s="2">
        <v>2025</v>
      </c>
      <c r="C126" s="2" t="s">
        <v>2042</v>
      </c>
      <c r="D126" s="2">
        <v>5</v>
      </c>
      <c r="E126" s="2" t="s">
        <v>2044</v>
      </c>
      <c r="F126" s="2" t="s">
        <v>2058</v>
      </c>
    </row>
    <row r="127" spans="1:6" x14ac:dyDescent="0.3">
      <c r="A127" s="3">
        <v>45783</v>
      </c>
      <c r="B127" s="2">
        <v>2025</v>
      </c>
      <c r="C127" s="2" t="s">
        <v>2042</v>
      </c>
      <c r="D127" s="2">
        <v>5</v>
      </c>
      <c r="E127" s="2" t="s">
        <v>2044</v>
      </c>
      <c r="F127" s="2" t="s">
        <v>2058</v>
      </c>
    </row>
    <row r="128" spans="1:6" x14ac:dyDescent="0.3">
      <c r="A128" s="3">
        <v>45784</v>
      </c>
      <c r="B128" s="2">
        <v>2025</v>
      </c>
      <c r="C128" s="2" t="s">
        <v>2042</v>
      </c>
      <c r="D128" s="2">
        <v>5</v>
      </c>
      <c r="E128" s="2" t="s">
        <v>2044</v>
      </c>
      <c r="F128" s="2" t="s">
        <v>2058</v>
      </c>
    </row>
    <row r="129" spans="1:6" x14ac:dyDescent="0.3">
      <c r="A129" s="3">
        <v>45785</v>
      </c>
      <c r="B129" s="2">
        <v>2025</v>
      </c>
      <c r="C129" s="2" t="s">
        <v>2042</v>
      </c>
      <c r="D129" s="2">
        <v>5</v>
      </c>
      <c r="E129" s="2" t="s">
        <v>2044</v>
      </c>
      <c r="F129" s="2" t="s">
        <v>2058</v>
      </c>
    </row>
    <row r="130" spans="1:6" x14ac:dyDescent="0.3">
      <c r="A130" s="3">
        <v>45786</v>
      </c>
      <c r="B130" s="2">
        <v>2025</v>
      </c>
      <c r="C130" s="2" t="s">
        <v>2042</v>
      </c>
      <c r="D130" s="2">
        <v>5</v>
      </c>
      <c r="E130" s="2" t="s">
        <v>2044</v>
      </c>
      <c r="F130" s="2" t="s">
        <v>2058</v>
      </c>
    </row>
    <row r="131" spans="1:6" x14ac:dyDescent="0.3">
      <c r="A131" s="3">
        <v>45787</v>
      </c>
      <c r="B131" s="2">
        <v>2025</v>
      </c>
      <c r="C131" s="2" t="s">
        <v>2042</v>
      </c>
      <c r="D131" s="2">
        <v>5</v>
      </c>
      <c r="E131" s="2" t="s">
        <v>2044</v>
      </c>
      <c r="F131" s="2" t="s">
        <v>2058</v>
      </c>
    </row>
    <row r="132" spans="1:6" x14ac:dyDescent="0.3">
      <c r="A132" s="3">
        <v>45788</v>
      </c>
      <c r="B132" s="2">
        <v>2025</v>
      </c>
      <c r="C132" s="2" t="s">
        <v>2042</v>
      </c>
      <c r="D132" s="2">
        <v>5</v>
      </c>
      <c r="E132" s="2" t="s">
        <v>2044</v>
      </c>
      <c r="F132" s="2" t="s">
        <v>2058</v>
      </c>
    </row>
    <row r="133" spans="1:6" x14ac:dyDescent="0.3">
      <c r="A133" s="3">
        <v>45789</v>
      </c>
      <c r="B133" s="2">
        <v>2025</v>
      </c>
      <c r="C133" s="2" t="s">
        <v>2042</v>
      </c>
      <c r="D133" s="2">
        <v>5</v>
      </c>
      <c r="E133" s="2" t="s">
        <v>2044</v>
      </c>
      <c r="F133" s="2" t="s">
        <v>2058</v>
      </c>
    </row>
    <row r="134" spans="1:6" x14ac:dyDescent="0.3">
      <c r="A134" s="3">
        <v>45790</v>
      </c>
      <c r="B134" s="2">
        <v>2025</v>
      </c>
      <c r="C134" s="2" t="s">
        <v>2042</v>
      </c>
      <c r="D134" s="2">
        <v>5</v>
      </c>
      <c r="E134" s="2" t="s">
        <v>2044</v>
      </c>
      <c r="F134" s="2" t="s">
        <v>2058</v>
      </c>
    </row>
    <row r="135" spans="1:6" x14ac:dyDescent="0.3">
      <c r="A135" s="3">
        <v>45791</v>
      </c>
      <c r="B135" s="2">
        <v>2025</v>
      </c>
      <c r="C135" s="2" t="s">
        <v>2042</v>
      </c>
      <c r="D135" s="2">
        <v>5</v>
      </c>
      <c r="E135" s="2" t="s">
        <v>2044</v>
      </c>
      <c r="F135" s="2" t="s">
        <v>2058</v>
      </c>
    </row>
    <row r="136" spans="1:6" x14ac:dyDescent="0.3">
      <c r="A136" s="3">
        <v>45792</v>
      </c>
      <c r="B136" s="2">
        <v>2025</v>
      </c>
      <c r="C136" s="2" t="s">
        <v>2042</v>
      </c>
      <c r="D136" s="2">
        <v>5</v>
      </c>
      <c r="E136" s="2" t="s">
        <v>2044</v>
      </c>
      <c r="F136" s="2" t="s">
        <v>2058</v>
      </c>
    </row>
    <row r="137" spans="1:6" x14ac:dyDescent="0.3">
      <c r="A137" s="3">
        <v>45793</v>
      </c>
      <c r="B137" s="2">
        <v>2025</v>
      </c>
      <c r="C137" s="2" t="s">
        <v>2042</v>
      </c>
      <c r="D137" s="2">
        <v>5</v>
      </c>
      <c r="E137" s="2" t="s">
        <v>2044</v>
      </c>
      <c r="F137" s="2" t="s">
        <v>2058</v>
      </c>
    </row>
    <row r="138" spans="1:6" x14ac:dyDescent="0.3">
      <c r="A138" s="3">
        <v>45794</v>
      </c>
      <c r="B138" s="2">
        <v>2025</v>
      </c>
      <c r="C138" s="2" t="s">
        <v>2042</v>
      </c>
      <c r="D138" s="2">
        <v>5</v>
      </c>
      <c r="E138" s="2" t="s">
        <v>2044</v>
      </c>
      <c r="F138" s="2" t="s">
        <v>2058</v>
      </c>
    </row>
    <row r="139" spans="1:6" x14ac:dyDescent="0.3">
      <c r="A139" s="3">
        <v>45795</v>
      </c>
      <c r="B139" s="2">
        <v>2025</v>
      </c>
      <c r="C139" s="2" t="s">
        <v>2042</v>
      </c>
      <c r="D139" s="2">
        <v>5</v>
      </c>
      <c r="E139" s="2" t="s">
        <v>2044</v>
      </c>
      <c r="F139" s="2" t="s">
        <v>2058</v>
      </c>
    </row>
    <row r="140" spans="1:6" x14ac:dyDescent="0.3">
      <c r="A140" s="3">
        <v>45796</v>
      </c>
      <c r="B140" s="2">
        <v>2025</v>
      </c>
      <c r="C140" s="2" t="s">
        <v>2042</v>
      </c>
      <c r="D140" s="2">
        <v>5</v>
      </c>
      <c r="E140" s="2" t="s">
        <v>2044</v>
      </c>
      <c r="F140" s="2" t="s">
        <v>2058</v>
      </c>
    </row>
    <row r="141" spans="1:6" x14ac:dyDescent="0.3">
      <c r="A141" s="3">
        <v>45797</v>
      </c>
      <c r="B141" s="2">
        <v>2025</v>
      </c>
      <c r="C141" s="2" t="s">
        <v>2042</v>
      </c>
      <c r="D141" s="2">
        <v>5</v>
      </c>
      <c r="E141" s="2" t="s">
        <v>2044</v>
      </c>
      <c r="F141" s="2" t="s">
        <v>2058</v>
      </c>
    </row>
    <row r="142" spans="1:6" x14ac:dyDescent="0.3">
      <c r="A142" s="3">
        <v>45798</v>
      </c>
      <c r="B142" s="2">
        <v>2025</v>
      </c>
      <c r="C142" s="2" t="s">
        <v>2042</v>
      </c>
      <c r="D142" s="2">
        <v>5</v>
      </c>
      <c r="E142" s="2" t="s">
        <v>2044</v>
      </c>
      <c r="F142" s="2" t="s">
        <v>2058</v>
      </c>
    </row>
    <row r="143" spans="1:6" x14ac:dyDescent="0.3">
      <c r="A143" s="3">
        <v>45799</v>
      </c>
      <c r="B143" s="2">
        <v>2025</v>
      </c>
      <c r="C143" s="2" t="s">
        <v>2042</v>
      </c>
      <c r="D143" s="2">
        <v>5</v>
      </c>
      <c r="E143" s="2" t="s">
        <v>2044</v>
      </c>
      <c r="F143" s="2" t="s">
        <v>2058</v>
      </c>
    </row>
    <row r="144" spans="1:6" x14ac:dyDescent="0.3">
      <c r="A144" s="3">
        <v>45800</v>
      </c>
      <c r="B144" s="2">
        <v>2025</v>
      </c>
      <c r="C144" s="2" t="s">
        <v>2042</v>
      </c>
      <c r="D144" s="2">
        <v>5</v>
      </c>
      <c r="E144" s="2" t="s">
        <v>2044</v>
      </c>
      <c r="F144" s="2" t="s">
        <v>2058</v>
      </c>
    </row>
    <row r="145" spans="1:6" x14ac:dyDescent="0.3">
      <c r="A145" s="3">
        <v>45801</v>
      </c>
      <c r="B145" s="2">
        <v>2025</v>
      </c>
      <c r="C145" s="2" t="s">
        <v>2042</v>
      </c>
      <c r="D145" s="2">
        <v>5</v>
      </c>
      <c r="E145" s="2" t="s">
        <v>2044</v>
      </c>
      <c r="F145" s="2" t="s">
        <v>2058</v>
      </c>
    </row>
    <row r="146" spans="1:6" x14ac:dyDescent="0.3">
      <c r="A146" s="3">
        <v>45802</v>
      </c>
      <c r="B146" s="2">
        <v>2025</v>
      </c>
      <c r="C146" s="2" t="s">
        <v>2042</v>
      </c>
      <c r="D146" s="2">
        <v>5</v>
      </c>
      <c r="E146" s="2" t="s">
        <v>2044</v>
      </c>
      <c r="F146" s="2" t="s">
        <v>2058</v>
      </c>
    </row>
    <row r="147" spans="1:6" x14ac:dyDescent="0.3">
      <c r="A147" s="3">
        <v>45803</v>
      </c>
      <c r="B147" s="2">
        <v>2025</v>
      </c>
      <c r="C147" s="2" t="s">
        <v>2042</v>
      </c>
      <c r="D147" s="2">
        <v>5</v>
      </c>
      <c r="E147" s="2" t="s">
        <v>2044</v>
      </c>
      <c r="F147" s="2" t="s">
        <v>2058</v>
      </c>
    </row>
    <row r="148" spans="1:6" x14ac:dyDescent="0.3">
      <c r="A148" s="3">
        <v>45804</v>
      </c>
      <c r="B148" s="2">
        <v>2025</v>
      </c>
      <c r="C148" s="2" t="s">
        <v>2042</v>
      </c>
      <c r="D148" s="2">
        <v>5</v>
      </c>
      <c r="E148" s="2" t="s">
        <v>2044</v>
      </c>
      <c r="F148" s="2" t="s">
        <v>2058</v>
      </c>
    </row>
    <row r="149" spans="1:6" x14ac:dyDescent="0.3">
      <c r="A149" s="3">
        <v>45805</v>
      </c>
      <c r="B149" s="2">
        <v>2025</v>
      </c>
      <c r="C149" s="2" t="s">
        <v>2042</v>
      </c>
      <c r="D149" s="2">
        <v>5</v>
      </c>
      <c r="E149" s="2" t="s">
        <v>2044</v>
      </c>
      <c r="F149" s="2" t="s">
        <v>2058</v>
      </c>
    </row>
    <row r="150" spans="1:6" x14ac:dyDescent="0.3">
      <c r="A150" s="3">
        <v>45806</v>
      </c>
      <c r="B150" s="2">
        <v>2025</v>
      </c>
      <c r="C150" s="2" t="s">
        <v>2042</v>
      </c>
      <c r="D150" s="2">
        <v>5</v>
      </c>
      <c r="E150" s="2" t="s">
        <v>2044</v>
      </c>
      <c r="F150" s="2" t="s">
        <v>2058</v>
      </c>
    </row>
    <row r="151" spans="1:6" x14ac:dyDescent="0.3">
      <c r="A151" s="3">
        <v>45807</v>
      </c>
      <c r="B151" s="2">
        <v>2025</v>
      </c>
      <c r="C151" s="2" t="s">
        <v>2042</v>
      </c>
      <c r="D151" s="2">
        <v>5</v>
      </c>
      <c r="E151" s="2" t="s">
        <v>2044</v>
      </c>
      <c r="F151" s="2" t="s">
        <v>2058</v>
      </c>
    </row>
    <row r="152" spans="1:6" x14ac:dyDescent="0.3">
      <c r="A152" s="3">
        <v>45808</v>
      </c>
      <c r="B152" s="2">
        <v>2025</v>
      </c>
      <c r="C152" s="2" t="s">
        <v>2042</v>
      </c>
      <c r="D152" s="2">
        <v>5</v>
      </c>
      <c r="E152" s="2" t="s">
        <v>2044</v>
      </c>
      <c r="F152" s="2" t="s">
        <v>2058</v>
      </c>
    </row>
    <row r="153" spans="1:6" x14ac:dyDescent="0.3">
      <c r="A153" s="3">
        <v>45809</v>
      </c>
      <c r="B153" s="2">
        <v>2025</v>
      </c>
      <c r="C153" s="2" t="s">
        <v>2042</v>
      </c>
      <c r="D153" s="2">
        <v>6</v>
      </c>
      <c r="E153" s="2" t="s">
        <v>2045</v>
      </c>
      <c r="F153" s="2" t="s">
        <v>2059</v>
      </c>
    </row>
    <row r="154" spans="1:6" x14ac:dyDescent="0.3">
      <c r="A154" s="3">
        <v>45810</v>
      </c>
      <c r="B154" s="2">
        <v>2025</v>
      </c>
      <c r="C154" s="2" t="s">
        <v>2042</v>
      </c>
      <c r="D154" s="2">
        <v>6</v>
      </c>
      <c r="E154" s="2" t="s">
        <v>2045</v>
      </c>
      <c r="F154" s="2" t="s">
        <v>2059</v>
      </c>
    </row>
    <row r="155" spans="1:6" x14ac:dyDescent="0.3">
      <c r="A155" s="3">
        <v>45811</v>
      </c>
      <c r="B155" s="2">
        <v>2025</v>
      </c>
      <c r="C155" s="2" t="s">
        <v>2042</v>
      </c>
      <c r="D155" s="2">
        <v>6</v>
      </c>
      <c r="E155" s="2" t="s">
        <v>2045</v>
      </c>
      <c r="F155" s="2" t="s">
        <v>2059</v>
      </c>
    </row>
    <row r="156" spans="1:6" x14ac:dyDescent="0.3">
      <c r="A156" s="3">
        <v>45812</v>
      </c>
      <c r="B156" s="2">
        <v>2025</v>
      </c>
      <c r="C156" s="2" t="s">
        <v>2042</v>
      </c>
      <c r="D156" s="2">
        <v>6</v>
      </c>
      <c r="E156" s="2" t="s">
        <v>2045</v>
      </c>
      <c r="F156" s="2" t="s">
        <v>2059</v>
      </c>
    </row>
    <row r="157" spans="1:6" x14ac:dyDescent="0.3">
      <c r="A157" s="3">
        <v>45813</v>
      </c>
      <c r="B157" s="2">
        <v>2025</v>
      </c>
      <c r="C157" s="2" t="s">
        <v>2042</v>
      </c>
      <c r="D157" s="2">
        <v>6</v>
      </c>
      <c r="E157" s="2" t="s">
        <v>2045</v>
      </c>
      <c r="F157" s="2" t="s">
        <v>2059</v>
      </c>
    </row>
    <row r="158" spans="1:6" x14ac:dyDescent="0.3">
      <c r="A158" s="3">
        <v>45814</v>
      </c>
      <c r="B158" s="2">
        <v>2025</v>
      </c>
      <c r="C158" s="2" t="s">
        <v>2042</v>
      </c>
      <c r="D158" s="2">
        <v>6</v>
      </c>
      <c r="E158" s="2" t="s">
        <v>2045</v>
      </c>
      <c r="F158" s="2" t="s">
        <v>2059</v>
      </c>
    </row>
    <row r="159" spans="1:6" x14ac:dyDescent="0.3">
      <c r="A159" s="3">
        <v>45815</v>
      </c>
      <c r="B159" s="2">
        <v>2025</v>
      </c>
      <c r="C159" s="2" t="s">
        <v>2042</v>
      </c>
      <c r="D159" s="2">
        <v>6</v>
      </c>
      <c r="E159" s="2" t="s">
        <v>2045</v>
      </c>
      <c r="F159" s="2" t="s">
        <v>2059</v>
      </c>
    </row>
    <row r="160" spans="1:6" x14ac:dyDescent="0.3">
      <c r="A160" s="3">
        <v>45816</v>
      </c>
      <c r="B160" s="2">
        <v>2025</v>
      </c>
      <c r="C160" s="2" t="s">
        <v>2042</v>
      </c>
      <c r="D160" s="2">
        <v>6</v>
      </c>
      <c r="E160" s="2" t="s">
        <v>2045</v>
      </c>
      <c r="F160" s="2" t="s">
        <v>2059</v>
      </c>
    </row>
    <row r="161" spans="1:6" x14ac:dyDescent="0.3">
      <c r="A161" s="3">
        <v>45817</v>
      </c>
      <c r="B161" s="2">
        <v>2025</v>
      </c>
      <c r="C161" s="2" t="s">
        <v>2042</v>
      </c>
      <c r="D161" s="2">
        <v>6</v>
      </c>
      <c r="E161" s="2" t="s">
        <v>2045</v>
      </c>
      <c r="F161" s="2" t="s">
        <v>2059</v>
      </c>
    </row>
    <row r="162" spans="1:6" x14ac:dyDescent="0.3">
      <c r="A162" s="3">
        <v>45818</v>
      </c>
      <c r="B162" s="2">
        <v>2025</v>
      </c>
      <c r="C162" s="2" t="s">
        <v>2042</v>
      </c>
      <c r="D162" s="2">
        <v>6</v>
      </c>
      <c r="E162" s="2" t="s">
        <v>2045</v>
      </c>
      <c r="F162" s="2" t="s">
        <v>2059</v>
      </c>
    </row>
    <row r="163" spans="1:6" x14ac:dyDescent="0.3">
      <c r="A163" s="3">
        <v>45819</v>
      </c>
      <c r="B163" s="2">
        <v>2025</v>
      </c>
      <c r="C163" s="2" t="s">
        <v>2042</v>
      </c>
      <c r="D163" s="2">
        <v>6</v>
      </c>
      <c r="E163" s="2" t="s">
        <v>2045</v>
      </c>
      <c r="F163" s="2" t="s">
        <v>2059</v>
      </c>
    </row>
    <row r="164" spans="1:6" x14ac:dyDescent="0.3">
      <c r="A164" s="3">
        <v>45820</v>
      </c>
      <c r="B164" s="2">
        <v>2025</v>
      </c>
      <c r="C164" s="2" t="s">
        <v>2042</v>
      </c>
      <c r="D164" s="2">
        <v>6</v>
      </c>
      <c r="E164" s="2" t="s">
        <v>2045</v>
      </c>
      <c r="F164" s="2" t="s">
        <v>2059</v>
      </c>
    </row>
    <row r="165" spans="1:6" x14ac:dyDescent="0.3">
      <c r="A165" s="3">
        <v>45821</v>
      </c>
      <c r="B165" s="2">
        <v>2025</v>
      </c>
      <c r="C165" s="2" t="s">
        <v>2042</v>
      </c>
      <c r="D165" s="2">
        <v>6</v>
      </c>
      <c r="E165" s="2" t="s">
        <v>2045</v>
      </c>
      <c r="F165" s="2" t="s">
        <v>2059</v>
      </c>
    </row>
    <row r="166" spans="1:6" x14ac:dyDescent="0.3">
      <c r="A166" s="3">
        <v>45822</v>
      </c>
      <c r="B166" s="2">
        <v>2025</v>
      </c>
      <c r="C166" s="2" t="s">
        <v>2042</v>
      </c>
      <c r="D166" s="2">
        <v>6</v>
      </c>
      <c r="E166" s="2" t="s">
        <v>2045</v>
      </c>
      <c r="F166" s="2" t="s">
        <v>2059</v>
      </c>
    </row>
    <row r="167" spans="1:6" x14ac:dyDescent="0.3">
      <c r="A167" s="3">
        <v>45823</v>
      </c>
      <c r="B167" s="2">
        <v>2025</v>
      </c>
      <c r="C167" s="2" t="s">
        <v>2042</v>
      </c>
      <c r="D167" s="2">
        <v>6</v>
      </c>
      <c r="E167" s="2" t="s">
        <v>2045</v>
      </c>
      <c r="F167" s="2" t="s">
        <v>2059</v>
      </c>
    </row>
    <row r="168" spans="1:6" x14ac:dyDescent="0.3">
      <c r="A168" s="3">
        <v>45824</v>
      </c>
      <c r="B168" s="2">
        <v>2025</v>
      </c>
      <c r="C168" s="2" t="s">
        <v>2042</v>
      </c>
      <c r="D168" s="2">
        <v>6</v>
      </c>
      <c r="E168" s="2" t="s">
        <v>2045</v>
      </c>
      <c r="F168" s="2" t="s">
        <v>2059</v>
      </c>
    </row>
    <row r="169" spans="1:6" x14ac:dyDescent="0.3">
      <c r="A169" s="3">
        <v>45825</v>
      </c>
      <c r="B169" s="2">
        <v>2025</v>
      </c>
      <c r="C169" s="2" t="s">
        <v>2042</v>
      </c>
      <c r="D169" s="2">
        <v>6</v>
      </c>
      <c r="E169" s="2" t="s">
        <v>2045</v>
      </c>
      <c r="F169" s="2" t="s">
        <v>2059</v>
      </c>
    </row>
    <row r="170" spans="1:6" x14ac:dyDescent="0.3">
      <c r="A170" s="3">
        <v>45826</v>
      </c>
      <c r="B170" s="2">
        <v>2025</v>
      </c>
      <c r="C170" s="2" t="s">
        <v>2042</v>
      </c>
      <c r="D170" s="2">
        <v>6</v>
      </c>
      <c r="E170" s="2" t="s">
        <v>2045</v>
      </c>
      <c r="F170" s="2" t="s">
        <v>2059</v>
      </c>
    </row>
    <row r="171" spans="1:6" x14ac:dyDescent="0.3">
      <c r="A171" s="3">
        <v>45827</v>
      </c>
      <c r="B171" s="2">
        <v>2025</v>
      </c>
      <c r="C171" s="2" t="s">
        <v>2042</v>
      </c>
      <c r="D171" s="2">
        <v>6</v>
      </c>
      <c r="E171" s="2" t="s">
        <v>2045</v>
      </c>
      <c r="F171" s="2" t="s">
        <v>2059</v>
      </c>
    </row>
    <row r="172" spans="1:6" x14ac:dyDescent="0.3">
      <c r="A172" s="3">
        <v>45828</v>
      </c>
      <c r="B172" s="2">
        <v>2025</v>
      </c>
      <c r="C172" s="2" t="s">
        <v>2042</v>
      </c>
      <c r="D172" s="2">
        <v>6</v>
      </c>
      <c r="E172" s="2" t="s">
        <v>2045</v>
      </c>
      <c r="F172" s="2" t="s">
        <v>2059</v>
      </c>
    </row>
    <row r="173" spans="1:6" x14ac:dyDescent="0.3">
      <c r="A173" s="3">
        <v>45829</v>
      </c>
      <c r="B173" s="2">
        <v>2025</v>
      </c>
      <c r="C173" s="2" t="s">
        <v>2042</v>
      </c>
      <c r="D173" s="2">
        <v>6</v>
      </c>
      <c r="E173" s="2" t="s">
        <v>2045</v>
      </c>
      <c r="F173" s="2" t="s">
        <v>2059</v>
      </c>
    </row>
    <row r="174" spans="1:6" x14ac:dyDescent="0.3">
      <c r="A174" s="3">
        <v>45830</v>
      </c>
      <c r="B174" s="2">
        <v>2025</v>
      </c>
      <c r="C174" s="2" t="s">
        <v>2042</v>
      </c>
      <c r="D174" s="2">
        <v>6</v>
      </c>
      <c r="E174" s="2" t="s">
        <v>2045</v>
      </c>
      <c r="F174" s="2" t="s">
        <v>2059</v>
      </c>
    </row>
    <row r="175" spans="1:6" x14ac:dyDescent="0.3">
      <c r="A175" s="3">
        <v>45831</v>
      </c>
      <c r="B175" s="2">
        <v>2025</v>
      </c>
      <c r="C175" s="2" t="s">
        <v>2042</v>
      </c>
      <c r="D175" s="2">
        <v>6</v>
      </c>
      <c r="E175" s="2" t="s">
        <v>2045</v>
      </c>
      <c r="F175" s="2" t="s">
        <v>2059</v>
      </c>
    </row>
    <row r="176" spans="1:6" x14ac:dyDescent="0.3">
      <c r="A176" s="3">
        <v>45832</v>
      </c>
      <c r="B176" s="2">
        <v>2025</v>
      </c>
      <c r="C176" s="2" t="s">
        <v>2042</v>
      </c>
      <c r="D176" s="2">
        <v>6</v>
      </c>
      <c r="E176" s="2" t="s">
        <v>2045</v>
      </c>
      <c r="F176" s="2" t="s">
        <v>2059</v>
      </c>
    </row>
    <row r="177" spans="1:6" x14ac:dyDescent="0.3">
      <c r="A177" s="3">
        <v>45833</v>
      </c>
      <c r="B177" s="2">
        <v>2025</v>
      </c>
      <c r="C177" s="2" t="s">
        <v>2042</v>
      </c>
      <c r="D177" s="2">
        <v>6</v>
      </c>
      <c r="E177" s="2" t="s">
        <v>2045</v>
      </c>
      <c r="F177" s="2" t="s">
        <v>2059</v>
      </c>
    </row>
    <row r="178" spans="1:6" x14ac:dyDescent="0.3">
      <c r="A178" s="3">
        <v>45834</v>
      </c>
      <c r="B178" s="2">
        <v>2025</v>
      </c>
      <c r="C178" s="2" t="s">
        <v>2042</v>
      </c>
      <c r="D178" s="2">
        <v>6</v>
      </c>
      <c r="E178" s="2" t="s">
        <v>2045</v>
      </c>
      <c r="F178" s="2" t="s">
        <v>2059</v>
      </c>
    </row>
    <row r="179" spans="1:6" x14ac:dyDescent="0.3">
      <c r="A179" s="3">
        <v>45835</v>
      </c>
      <c r="B179" s="2">
        <v>2025</v>
      </c>
      <c r="C179" s="2" t="s">
        <v>2042</v>
      </c>
      <c r="D179" s="2">
        <v>6</v>
      </c>
      <c r="E179" s="2" t="s">
        <v>2045</v>
      </c>
      <c r="F179" s="2" t="s">
        <v>2059</v>
      </c>
    </row>
    <row r="180" spans="1:6" x14ac:dyDescent="0.3">
      <c r="A180" s="3">
        <v>45836</v>
      </c>
      <c r="B180" s="2">
        <v>2025</v>
      </c>
      <c r="C180" s="2" t="s">
        <v>2042</v>
      </c>
      <c r="D180" s="2">
        <v>6</v>
      </c>
      <c r="E180" s="2" t="s">
        <v>2045</v>
      </c>
      <c r="F180" s="2" t="s">
        <v>2059</v>
      </c>
    </row>
    <row r="181" spans="1:6" x14ac:dyDescent="0.3">
      <c r="A181" s="3">
        <v>45837</v>
      </c>
      <c r="B181" s="2">
        <v>2025</v>
      </c>
      <c r="C181" s="2" t="s">
        <v>2042</v>
      </c>
      <c r="D181" s="2">
        <v>6</v>
      </c>
      <c r="E181" s="2" t="s">
        <v>2045</v>
      </c>
      <c r="F181" s="2" t="s">
        <v>2059</v>
      </c>
    </row>
    <row r="182" spans="1:6" x14ac:dyDescent="0.3">
      <c r="A182" s="3">
        <v>45838</v>
      </c>
      <c r="B182" s="2">
        <v>2025</v>
      </c>
      <c r="C182" s="2" t="s">
        <v>2042</v>
      </c>
      <c r="D182" s="2">
        <v>6</v>
      </c>
      <c r="E182" s="2" t="s">
        <v>2045</v>
      </c>
      <c r="F182" s="2" t="s">
        <v>2059</v>
      </c>
    </row>
    <row r="183" spans="1:6" x14ac:dyDescent="0.3">
      <c r="A183" s="3">
        <v>45839</v>
      </c>
      <c r="B183" s="2">
        <v>2025</v>
      </c>
      <c r="C183" s="2" t="s">
        <v>2046</v>
      </c>
      <c r="D183" s="2">
        <v>7</v>
      </c>
      <c r="E183" s="2" t="s">
        <v>2047</v>
      </c>
      <c r="F183" s="2" t="s">
        <v>2060</v>
      </c>
    </row>
    <row r="184" spans="1:6" x14ac:dyDescent="0.3">
      <c r="A184" s="3">
        <v>45840</v>
      </c>
      <c r="B184" s="2">
        <v>2025</v>
      </c>
      <c r="C184" s="2" t="s">
        <v>2046</v>
      </c>
      <c r="D184" s="2">
        <v>7</v>
      </c>
      <c r="E184" s="2" t="s">
        <v>2047</v>
      </c>
      <c r="F184" s="2" t="s">
        <v>2060</v>
      </c>
    </row>
    <row r="185" spans="1:6" x14ac:dyDescent="0.3">
      <c r="A185" s="3">
        <v>45841</v>
      </c>
      <c r="B185" s="2">
        <v>2025</v>
      </c>
      <c r="C185" s="2" t="s">
        <v>2046</v>
      </c>
      <c r="D185" s="2">
        <v>7</v>
      </c>
      <c r="E185" s="2" t="s">
        <v>2047</v>
      </c>
      <c r="F185" s="2" t="s">
        <v>2060</v>
      </c>
    </row>
    <row r="186" spans="1:6" x14ac:dyDescent="0.3">
      <c r="A186" s="3">
        <v>45842</v>
      </c>
      <c r="B186" s="2">
        <v>2025</v>
      </c>
      <c r="C186" s="2" t="s">
        <v>2046</v>
      </c>
      <c r="D186" s="2">
        <v>7</v>
      </c>
      <c r="E186" s="2" t="s">
        <v>2047</v>
      </c>
      <c r="F186" s="2" t="s">
        <v>2060</v>
      </c>
    </row>
    <row r="187" spans="1:6" x14ac:dyDescent="0.3">
      <c r="A187" s="3">
        <v>45843</v>
      </c>
      <c r="B187" s="2">
        <v>2025</v>
      </c>
      <c r="C187" s="2" t="s">
        <v>2046</v>
      </c>
      <c r="D187" s="2">
        <v>7</v>
      </c>
      <c r="E187" s="2" t="s">
        <v>2047</v>
      </c>
      <c r="F187" s="2" t="s">
        <v>2060</v>
      </c>
    </row>
    <row r="188" spans="1:6" x14ac:dyDescent="0.3">
      <c r="A188" s="3">
        <v>45844</v>
      </c>
      <c r="B188" s="2">
        <v>2025</v>
      </c>
      <c r="C188" s="2" t="s">
        <v>2046</v>
      </c>
      <c r="D188" s="2">
        <v>7</v>
      </c>
      <c r="E188" s="2" t="s">
        <v>2047</v>
      </c>
      <c r="F188" s="2" t="s">
        <v>2060</v>
      </c>
    </row>
    <row r="189" spans="1:6" x14ac:dyDescent="0.3">
      <c r="A189" s="3">
        <v>45845</v>
      </c>
      <c r="B189" s="2">
        <v>2025</v>
      </c>
      <c r="C189" s="2" t="s">
        <v>2046</v>
      </c>
      <c r="D189" s="2">
        <v>7</v>
      </c>
      <c r="E189" s="2" t="s">
        <v>2047</v>
      </c>
      <c r="F189" s="2" t="s">
        <v>2060</v>
      </c>
    </row>
    <row r="190" spans="1:6" x14ac:dyDescent="0.3">
      <c r="A190" s="3">
        <v>45846</v>
      </c>
      <c r="B190" s="2">
        <v>2025</v>
      </c>
      <c r="C190" s="2" t="s">
        <v>2046</v>
      </c>
      <c r="D190" s="2">
        <v>7</v>
      </c>
      <c r="E190" s="2" t="s">
        <v>2047</v>
      </c>
      <c r="F190" s="2" t="s">
        <v>2060</v>
      </c>
    </row>
    <row r="191" spans="1:6" x14ac:dyDescent="0.3">
      <c r="A191" s="3">
        <v>45847</v>
      </c>
      <c r="B191" s="2">
        <v>2025</v>
      </c>
      <c r="C191" s="2" t="s">
        <v>2046</v>
      </c>
      <c r="D191" s="2">
        <v>7</v>
      </c>
      <c r="E191" s="2" t="s">
        <v>2047</v>
      </c>
      <c r="F191" s="2" t="s">
        <v>2060</v>
      </c>
    </row>
    <row r="192" spans="1:6" x14ac:dyDescent="0.3">
      <c r="A192" s="3">
        <v>45848</v>
      </c>
      <c r="B192" s="2">
        <v>2025</v>
      </c>
      <c r="C192" s="2" t="s">
        <v>2046</v>
      </c>
      <c r="D192" s="2">
        <v>7</v>
      </c>
      <c r="E192" s="2" t="s">
        <v>2047</v>
      </c>
      <c r="F192" s="2" t="s">
        <v>2060</v>
      </c>
    </row>
    <row r="193" spans="1:6" x14ac:dyDescent="0.3">
      <c r="A193" s="3">
        <v>45849</v>
      </c>
      <c r="B193" s="2">
        <v>2025</v>
      </c>
      <c r="C193" s="2" t="s">
        <v>2046</v>
      </c>
      <c r="D193" s="2">
        <v>7</v>
      </c>
      <c r="E193" s="2" t="s">
        <v>2047</v>
      </c>
      <c r="F193" s="2" t="s">
        <v>2060</v>
      </c>
    </row>
    <row r="194" spans="1:6" x14ac:dyDescent="0.3">
      <c r="A194" s="3">
        <v>45850</v>
      </c>
      <c r="B194" s="2">
        <v>2025</v>
      </c>
      <c r="C194" s="2" t="s">
        <v>2046</v>
      </c>
      <c r="D194" s="2">
        <v>7</v>
      </c>
      <c r="E194" s="2" t="s">
        <v>2047</v>
      </c>
      <c r="F194" s="2" t="s">
        <v>2060</v>
      </c>
    </row>
    <row r="195" spans="1:6" x14ac:dyDescent="0.3">
      <c r="A195" s="3">
        <v>45851</v>
      </c>
      <c r="B195" s="2">
        <v>2025</v>
      </c>
      <c r="C195" s="2" t="s">
        <v>2046</v>
      </c>
      <c r="D195" s="2">
        <v>7</v>
      </c>
      <c r="E195" s="2" t="s">
        <v>2047</v>
      </c>
      <c r="F195" s="2" t="s">
        <v>2060</v>
      </c>
    </row>
    <row r="196" spans="1:6" x14ac:dyDescent="0.3">
      <c r="A196" s="3">
        <v>45852</v>
      </c>
      <c r="B196" s="2">
        <v>2025</v>
      </c>
      <c r="C196" s="2" t="s">
        <v>2046</v>
      </c>
      <c r="D196" s="2">
        <v>7</v>
      </c>
      <c r="E196" s="2" t="s">
        <v>2047</v>
      </c>
      <c r="F196" s="2" t="s">
        <v>2060</v>
      </c>
    </row>
    <row r="197" spans="1:6" x14ac:dyDescent="0.3">
      <c r="A197" s="3">
        <v>45853</v>
      </c>
      <c r="B197" s="2">
        <v>2025</v>
      </c>
      <c r="C197" s="2" t="s">
        <v>2046</v>
      </c>
      <c r="D197" s="2">
        <v>7</v>
      </c>
      <c r="E197" s="2" t="s">
        <v>2047</v>
      </c>
      <c r="F197" s="2" t="s">
        <v>2060</v>
      </c>
    </row>
    <row r="198" spans="1:6" x14ac:dyDescent="0.3">
      <c r="A198" s="3">
        <v>45854</v>
      </c>
      <c r="B198" s="2">
        <v>2025</v>
      </c>
      <c r="C198" s="2" t="s">
        <v>2046</v>
      </c>
      <c r="D198" s="2">
        <v>7</v>
      </c>
      <c r="E198" s="2" t="s">
        <v>2047</v>
      </c>
      <c r="F198" s="2" t="s">
        <v>2060</v>
      </c>
    </row>
    <row r="199" spans="1:6" x14ac:dyDescent="0.3">
      <c r="A199" s="3">
        <v>45855</v>
      </c>
      <c r="B199" s="2">
        <v>2025</v>
      </c>
      <c r="C199" s="2" t="s">
        <v>2046</v>
      </c>
      <c r="D199" s="2">
        <v>7</v>
      </c>
      <c r="E199" s="2" t="s">
        <v>2047</v>
      </c>
      <c r="F199" s="2" t="s">
        <v>2060</v>
      </c>
    </row>
    <row r="200" spans="1:6" x14ac:dyDescent="0.3">
      <c r="A200" s="3">
        <v>45856</v>
      </c>
      <c r="B200" s="2">
        <v>2025</v>
      </c>
      <c r="C200" s="2" t="s">
        <v>2046</v>
      </c>
      <c r="D200" s="2">
        <v>7</v>
      </c>
      <c r="E200" s="2" t="s">
        <v>2047</v>
      </c>
      <c r="F200" s="2" t="s">
        <v>2060</v>
      </c>
    </row>
    <row r="201" spans="1:6" x14ac:dyDescent="0.3">
      <c r="A201" s="3">
        <v>45857</v>
      </c>
      <c r="B201" s="2">
        <v>2025</v>
      </c>
      <c r="C201" s="2" t="s">
        <v>2046</v>
      </c>
      <c r="D201" s="2">
        <v>7</v>
      </c>
      <c r="E201" s="2" t="s">
        <v>2047</v>
      </c>
      <c r="F201" s="2" t="s">
        <v>2060</v>
      </c>
    </row>
    <row r="202" spans="1:6" x14ac:dyDescent="0.3">
      <c r="A202" s="3">
        <v>45858</v>
      </c>
      <c r="B202" s="2">
        <v>2025</v>
      </c>
      <c r="C202" s="2" t="s">
        <v>2046</v>
      </c>
      <c r="D202" s="2">
        <v>7</v>
      </c>
      <c r="E202" s="2" t="s">
        <v>2047</v>
      </c>
      <c r="F202" s="2" t="s">
        <v>2060</v>
      </c>
    </row>
    <row r="203" spans="1:6" x14ac:dyDescent="0.3">
      <c r="A203" s="3">
        <v>45859</v>
      </c>
      <c r="B203" s="2">
        <v>2025</v>
      </c>
      <c r="C203" s="2" t="s">
        <v>2046</v>
      </c>
      <c r="D203" s="2">
        <v>7</v>
      </c>
      <c r="E203" s="2" t="s">
        <v>2047</v>
      </c>
      <c r="F203" s="2" t="s">
        <v>2060</v>
      </c>
    </row>
    <row r="204" spans="1:6" x14ac:dyDescent="0.3">
      <c r="A204" s="3">
        <v>45860</v>
      </c>
      <c r="B204" s="2">
        <v>2025</v>
      </c>
      <c r="C204" s="2" t="s">
        <v>2046</v>
      </c>
      <c r="D204" s="2">
        <v>7</v>
      </c>
      <c r="E204" s="2" t="s">
        <v>2047</v>
      </c>
      <c r="F204" s="2" t="s">
        <v>2060</v>
      </c>
    </row>
    <row r="205" spans="1:6" x14ac:dyDescent="0.3">
      <c r="A205" s="3">
        <v>45861</v>
      </c>
      <c r="B205" s="2">
        <v>2025</v>
      </c>
      <c r="C205" s="2" t="s">
        <v>2046</v>
      </c>
      <c r="D205" s="2">
        <v>7</v>
      </c>
      <c r="E205" s="2" t="s">
        <v>2047</v>
      </c>
      <c r="F205" s="2" t="s">
        <v>2060</v>
      </c>
    </row>
    <row r="206" spans="1:6" x14ac:dyDescent="0.3">
      <c r="A206" s="3">
        <v>45862</v>
      </c>
      <c r="B206" s="2">
        <v>2025</v>
      </c>
      <c r="C206" s="2" t="s">
        <v>2046</v>
      </c>
      <c r="D206" s="2">
        <v>7</v>
      </c>
      <c r="E206" s="2" t="s">
        <v>2047</v>
      </c>
      <c r="F206" s="2" t="s">
        <v>2060</v>
      </c>
    </row>
    <row r="207" spans="1:6" x14ac:dyDescent="0.3">
      <c r="A207" s="3">
        <v>45863</v>
      </c>
      <c r="B207" s="2">
        <v>2025</v>
      </c>
      <c r="C207" s="2" t="s">
        <v>2046</v>
      </c>
      <c r="D207" s="2">
        <v>7</v>
      </c>
      <c r="E207" s="2" t="s">
        <v>2047</v>
      </c>
      <c r="F207" s="2" t="s">
        <v>2060</v>
      </c>
    </row>
    <row r="208" spans="1:6" x14ac:dyDescent="0.3">
      <c r="A208" s="3">
        <v>45864</v>
      </c>
      <c r="B208" s="2">
        <v>2025</v>
      </c>
      <c r="C208" s="2" t="s">
        <v>2046</v>
      </c>
      <c r="D208" s="2">
        <v>7</v>
      </c>
      <c r="E208" s="2" t="s">
        <v>2047</v>
      </c>
      <c r="F208" s="2" t="s">
        <v>2060</v>
      </c>
    </row>
    <row r="209" spans="1:6" x14ac:dyDescent="0.3">
      <c r="A209" s="3">
        <v>45865</v>
      </c>
      <c r="B209" s="2">
        <v>2025</v>
      </c>
      <c r="C209" s="2" t="s">
        <v>2046</v>
      </c>
      <c r="D209" s="2">
        <v>7</v>
      </c>
      <c r="E209" s="2" t="s">
        <v>2047</v>
      </c>
      <c r="F209" s="2" t="s">
        <v>2060</v>
      </c>
    </row>
    <row r="210" spans="1:6" x14ac:dyDescent="0.3">
      <c r="A210" s="3">
        <v>45866</v>
      </c>
      <c r="B210" s="2">
        <v>2025</v>
      </c>
      <c r="C210" s="2" t="s">
        <v>2046</v>
      </c>
      <c r="D210" s="2">
        <v>7</v>
      </c>
      <c r="E210" s="2" t="s">
        <v>2047</v>
      </c>
      <c r="F210" s="2" t="s">
        <v>2060</v>
      </c>
    </row>
    <row r="211" spans="1:6" x14ac:dyDescent="0.3">
      <c r="A211" s="3">
        <v>45867</v>
      </c>
      <c r="B211" s="2">
        <v>2025</v>
      </c>
      <c r="C211" s="2" t="s">
        <v>2046</v>
      </c>
      <c r="D211" s="2">
        <v>7</v>
      </c>
      <c r="E211" s="2" t="s">
        <v>2047</v>
      </c>
      <c r="F211" s="2" t="s">
        <v>2060</v>
      </c>
    </row>
    <row r="212" spans="1:6" x14ac:dyDescent="0.3">
      <c r="A212" s="3">
        <v>45868</v>
      </c>
      <c r="B212" s="2">
        <v>2025</v>
      </c>
      <c r="C212" s="2" t="s">
        <v>2046</v>
      </c>
      <c r="D212" s="2">
        <v>7</v>
      </c>
      <c r="E212" s="2" t="s">
        <v>2047</v>
      </c>
      <c r="F212" s="2" t="s">
        <v>2060</v>
      </c>
    </row>
    <row r="213" spans="1:6" x14ac:dyDescent="0.3">
      <c r="A213" s="3">
        <v>45869</v>
      </c>
      <c r="B213" s="2">
        <v>2025</v>
      </c>
      <c r="C213" s="2" t="s">
        <v>2046</v>
      </c>
      <c r="D213" s="2">
        <v>7</v>
      </c>
      <c r="E213" s="2" t="s">
        <v>2047</v>
      </c>
      <c r="F213" s="2" t="s">
        <v>2060</v>
      </c>
    </row>
    <row r="214" spans="1:6" x14ac:dyDescent="0.3">
      <c r="A214" s="3">
        <v>45870</v>
      </c>
      <c r="B214" s="2">
        <v>2025</v>
      </c>
      <c r="C214" s="2" t="s">
        <v>2046</v>
      </c>
      <c r="D214" s="2">
        <v>8</v>
      </c>
      <c r="E214" s="2" t="s">
        <v>2048</v>
      </c>
      <c r="F214" s="2" t="s">
        <v>2061</v>
      </c>
    </row>
    <row r="215" spans="1:6" x14ac:dyDescent="0.3">
      <c r="A215" s="3">
        <v>45871</v>
      </c>
      <c r="B215" s="2">
        <v>2025</v>
      </c>
      <c r="C215" s="2" t="s">
        <v>2046</v>
      </c>
      <c r="D215" s="2">
        <v>8</v>
      </c>
      <c r="E215" s="2" t="s">
        <v>2048</v>
      </c>
      <c r="F215" s="2" t="s">
        <v>2061</v>
      </c>
    </row>
    <row r="216" spans="1:6" x14ac:dyDescent="0.3">
      <c r="A216" s="3">
        <v>45872</v>
      </c>
      <c r="B216" s="2">
        <v>2025</v>
      </c>
      <c r="C216" s="2" t="s">
        <v>2046</v>
      </c>
      <c r="D216" s="2">
        <v>8</v>
      </c>
      <c r="E216" s="2" t="s">
        <v>2048</v>
      </c>
      <c r="F216" s="2" t="s">
        <v>2061</v>
      </c>
    </row>
    <row r="217" spans="1:6" x14ac:dyDescent="0.3">
      <c r="A217" s="3">
        <v>45873</v>
      </c>
      <c r="B217" s="2">
        <v>2025</v>
      </c>
      <c r="C217" s="2" t="s">
        <v>2046</v>
      </c>
      <c r="D217" s="2">
        <v>8</v>
      </c>
      <c r="E217" s="2" t="s">
        <v>2048</v>
      </c>
      <c r="F217" s="2" t="s">
        <v>2061</v>
      </c>
    </row>
    <row r="218" spans="1:6" x14ac:dyDescent="0.3">
      <c r="A218" s="3">
        <v>45874</v>
      </c>
      <c r="B218" s="2">
        <v>2025</v>
      </c>
      <c r="C218" s="2" t="s">
        <v>2046</v>
      </c>
      <c r="D218" s="2">
        <v>8</v>
      </c>
      <c r="E218" s="2" t="s">
        <v>2048</v>
      </c>
      <c r="F218" s="2" t="s">
        <v>2061</v>
      </c>
    </row>
    <row r="219" spans="1:6" x14ac:dyDescent="0.3">
      <c r="A219" s="3">
        <v>45875</v>
      </c>
      <c r="B219" s="2">
        <v>2025</v>
      </c>
      <c r="C219" s="2" t="s">
        <v>2046</v>
      </c>
      <c r="D219" s="2">
        <v>8</v>
      </c>
      <c r="E219" s="2" t="s">
        <v>2048</v>
      </c>
      <c r="F219" s="2" t="s">
        <v>2061</v>
      </c>
    </row>
    <row r="220" spans="1:6" x14ac:dyDescent="0.3">
      <c r="A220" s="3">
        <v>45876</v>
      </c>
      <c r="B220" s="2">
        <v>2025</v>
      </c>
      <c r="C220" s="2" t="s">
        <v>2046</v>
      </c>
      <c r="D220" s="2">
        <v>8</v>
      </c>
      <c r="E220" s="2" t="s">
        <v>2048</v>
      </c>
      <c r="F220" s="2" t="s">
        <v>2061</v>
      </c>
    </row>
    <row r="221" spans="1:6" x14ac:dyDescent="0.3">
      <c r="A221" s="3">
        <v>45877</v>
      </c>
      <c r="B221" s="2">
        <v>2025</v>
      </c>
      <c r="C221" s="2" t="s">
        <v>2046</v>
      </c>
      <c r="D221" s="2">
        <v>8</v>
      </c>
      <c r="E221" s="2" t="s">
        <v>2048</v>
      </c>
      <c r="F221" s="2" t="s">
        <v>2061</v>
      </c>
    </row>
    <row r="222" spans="1:6" x14ac:dyDescent="0.3">
      <c r="A222" s="3">
        <v>45878</v>
      </c>
      <c r="B222" s="2">
        <v>2025</v>
      </c>
      <c r="C222" s="2" t="s">
        <v>2046</v>
      </c>
      <c r="D222" s="2">
        <v>8</v>
      </c>
      <c r="E222" s="2" t="s">
        <v>2048</v>
      </c>
      <c r="F222" s="2" t="s">
        <v>2061</v>
      </c>
    </row>
    <row r="223" spans="1:6" x14ac:dyDescent="0.3">
      <c r="A223" s="3">
        <v>45879</v>
      </c>
      <c r="B223" s="2">
        <v>2025</v>
      </c>
      <c r="C223" s="2" t="s">
        <v>2046</v>
      </c>
      <c r="D223" s="2">
        <v>8</v>
      </c>
      <c r="E223" s="2" t="s">
        <v>2048</v>
      </c>
      <c r="F223" s="2" t="s">
        <v>2061</v>
      </c>
    </row>
    <row r="224" spans="1:6" x14ac:dyDescent="0.3">
      <c r="A224" s="3">
        <v>45880</v>
      </c>
      <c r="B224" s="2">
        <v>2025</v>
      </c>
      <c r="C224" s="2" t="s">
        <v>2046</v>
      </c>
      <c r="D224" s="2">
        <v>8</v>
      </c>
      <c r="E224" s="2" t="s">
        <v>2048</v>
      </c>
      <c r="F224" s="2" t="s">
        <v>2061</v>
      </c>
    </row>
    <row r="225" spans="1:6" x14ac:dyDescent="0.3">
      <c r="A225" s="3">
        <v>45881</v>
      </c>
      <c r="B225" s="2">
        <v>2025</v>
      </c>
      <c r="C225" s="2" t="s">
        <v>2046</v>
      </c>
      <c r="D225" s="2">
        <v>8</v>
      </c>
      <c r="E225" s="2" t="s">
        <v>2048</v>
      </c>
      <c r="F225" s="2" t="s">
        <v>2061</v>
      </c>
    </row>
    <row r="226" spans="1:6" x14ac:dyDescent="0.3">
      <c r="A226" s="3">
        <v>45882</v>
      </c>
      <c r="B226" s="2">
        <v>2025</v>
      </c>
      <c r="C226" s="2" t="s">
        <v>2046</v>
      </c>
      <c r="D226" s="2">
        <v>8</v>
      </c>
      <c r="E226" s="2" t="s">
        <v>2048</v>
      </c>
      <c r="F226" s="2" t="s">
        <v>2061</v>
      </c>
    </row>
    <row r="227" spans="1:6" x14ac:dyDescent="0.3">
      <c r="A227" s="3">
        <v>45883</v>
      </c>
      <c r="B227" s="2">
        <v>2025</v>
      </c>
      <c r="C227" s="2" t="s">
        <v>2046</v>
      </c>
      <c r="D227" s="2">
        <v>8</v>
      </c>
      <c r="E227" s="2" t="s">
        <v>2048</v>
      </c>
      <c r="F227" s="2" t="s">
        <v>2061</v>
      </c>
    </row>
    <row r="228" spans="1:6" x14ac:dyDescent="0.3">
      <c r="A228" s="3">
        <v>45884</v>
      </c>
      <c r="B228" s="2">
        <v>2025</v>
      </c>
      <c r="C228" s="2" t="s">
        <v>2046</v>
      </c>
      <c r="D228" s="2">
        <v>8</v>
      </c>
      <c r="E228" s="2" t="s">
        <v>2048</v>
      </c>
      <c r="F228" s="2" t="s">
        <v>2061</v>
      </c>
    </row>
    <row r="229" spans="1:6" x14ac:dyDescent="0.3">
      <c r="A229" s="3">
        <v>45885</v>
      </c>
      <c r="B229" s="2">
        <v>2025</v>
      </c>
      <c r="C229" s="2" t="s">
        <v>2046</v>
      </c>
      <c r="D229" s="2">
        <v>8</v>
      </c>
      <c r="E229" s="2" t="s">
        <v>2048</v>
      </c>
      <c r="F229" s="2" t="s">
        <v>2061</v>
      </c>
    </row>
    <row r="230" spans="1:6" x14ac:dyDescent="0.3">
      <c r="A230" s="3">
        <v>45886</v>
      </c>
      <c r="B230" s="2">
        <v>2025</v>
      </c>
      <c r="C230" s="2" t="s">
        <v>2046</v>
      </c>
      <c r="D230" s="2">
        <v>8</v>
      </c>
      <c r="E230" s="2" t="s">
        <v>2048</v>
      </c>
      <c r="F230" s="2" t="s">
        <v>2061</v>
      </c>
    </row>
    <row r="231" spans="1:6" x14ac:dyDescent="0.3">
      <c r="A231" s="3">
        <v>45887</v>
      </c>
      <c r="B231" s="2">
        <v>2025</v>
      </c>
      <c r="C231" s="2" t="s">
        <v>2046</v>
      </c>
      <c r="D231" s="2">
        <v>8</v>
      </c>
      <c r="E231" s="2" t="s">
        <v>2048</v>
      </c>
      <c r="F231" s="2" t="s">
        <v>2061</v>
      </c>
    </row>
    <row r="232" spans="1:6" x14ac:dyDescent="0.3">
      <c r="A232" s="3">
        <v>45888</v>
      </c>
      <c r="B232" s="2">
        <v>2025</v>
      </c>
      <c r="C232" s="2" t="s">
        <v>2046</v>
      </c>
      <c r="D232" s="2">
        <v>8</v>
      </c>
      <c r="E232" s="2" t="s">
        <v>2048</v>
      </c>
      <c r="F232" s="2" t="s">
        <v>2061</v>
      </c>
    </row>
    <row r="233" spans="1:6" x14ac:dyDescent="0.3">
      <c r="A233" s="3">
        <v>45889</v>
      </c>
      <c r="B233" s="2">
        <v>2025</v>
      </c>
      <c r="C233" s="2" t="s">
        <v>2046</v>
      </c>
      <c r="D233" s="2">
        <v>8</v>
      </c>
      <c r="E233" s="2" t="s">
        <v>2048</v>
      </c>
      <c r="F233" s="2" t="s">
        <v>2061</v>
      </c>
    </row>
    <row r="234" spans="1:6" x14ac:dyDescent="0.3">
      <c r="A234" s="3">
        <v>45890</v>
      </c>
      <c r="B234" s="2">
        <v>2025</v>
      </c>
      <c r="C234" s="2" t="s">
        <v>2046</v>
      </c>
      <c r="D234" s="2">
        <v>8</v>
      </c>
      <c r="E234" s="2" t="s">
        <v>2048</v>
      </c>
      <c r="F234" s="2" t="s">
        <v>2061</v>
      </c>
    </row>
    <row r="235" spans="1:6" x14ac:dyDescent="0.3">
      <c r="A235" s="3">
        <v>45891</v>
      </c>
      <c r="B235" s="2">
        <v>2025</v>
      </c>
      <c r="C235" s="2" t="s">
        <v>2046</v>
      </c>
      <c r="D235" s="2">
        <v>8</v>
      </c>
      <c r="E235" s="2" t="s">
        <v>2048</v>
      </c>
      <c r="F235" s="2" t="s">
        <v>2061</v>
      </c>
    </row>
    <row r="236" spans="1:6" x14ac:dyDescent="0.3">
      <c r="A236" s="3">
        <v>45892</v>
      </c>
      <c r="B236" s="2">
        <v>2025</v>
      </c>
      <c r="C236" s="2" t="s">
        <v>2046</v>
      </c>
      <c r="D236" s="2">
        <v>8</v>
      </c>
      <c r="E236" s="2" t="s">
        <v>2048</v>
      </c>
      <c r="F236" s="2" t="s">
        <v>2061</v>
      </c>
    </row>
    <row r="237" spans="1:6" x14ac:dyDescent="0.3">
      <c r="A237" s="3">
        <v>45893</v>
      </c>
      <c r="B237" s="2">
        <v>2025</v>
      </c>
      <c r="C237" s="2" t="s">
        <v>2046</v>
      </c>
      <c r="D237" s="2">
        <v>8</v>
      </c>
      <c r="E237" s="2" t="s">
        <v>2048</v>
      </c>
      <c r="F237" s="2" t="s">
        <v>2061</v>
      </c>
    </row>
    <row r="238" spans="1:6" x14ac:dyDescent="0.3">
      <c r="A238" s="3">
        <v>45894</v>
      </c>
      <c r="B238" s="2">
        <v>2025</v>
      </c>
      <c r="C238" s="2" t="s">
        <v>2046</v>
      </c>
      <c r="D238" s="2">
        <v>8</v>
      </c>
      <c r="E238" s="2" t="s">
        <v>2048</v>
      </c>
      <c r="F238" s="2" t="s">
        <v>2061</v>
      </c>
    </row>
    <row r="239" spans="1:6" x14ac:dyDescent="0.3">
      <c r="A239" s="3">
        <v>45895</v>
      </c>
      <c r="B239" s="2">
        <v>2025</v>
      </c>
      <c r="C239" s="2" t="s">
        <v>2046</v>
      </c>
      <c r="D239" s="2">
        <v>8</v>
      </c>
      <c r="E239" s="2" t="s">
        <v>2048</v>
      </c>
      <c r="F239" s="2" t="s">
        <v>2061</v>
      </c>
    </row>
    <row r="240" spans="1:6" x14ac:dyDescent="0.3">
      <c r="A240" s="3">
        <v>45896</v>
      </c>
      <c r="B240" s="2">
        <v>2025</v>
      </c>
      <c r="C240" s="2" t="s">
        <v>2046</v>
      </c>
      <c r="D240" s="2">
        <v>8</v>
      </c>
      <c r="E240" s="2" t="s">
        <v>2048</v>
      </c>
      <c r="F240" s="2" t="s">
        <v>2061</v>
      </c>
    </row>
    <row r="241" spans="1:6" x14ac:dyDescent="0.3">
      <c r="A241" s="3">
        <v>45897</v>
      </c>
      <c r="B241" s="2">
        <v>2025</v>
      </c>
      <c r="C241" s="2" t="s">
        <v>2046</v>
      </c>
      <c r="D241" s="2">
        <v>8</v>
      </c>
      <c r="E241" s="2" t="s">
        <v>2048</v>
      </c>
      <c r="F241" s="2" t="s">
        <v>2061</v>
      </c>
    </row>
    <row r="242" spans="1:6" x14ac:dyDescent="0.3">
      <c r="A242" s="3">
        <v>45898</v>
      </c>
      <c r="B242" s="2">
        <v>2025</v>
      </c>
      <c r="C242" s="2" t="s">
        <v>2046</v>
      </c>
      <c r="D242" s="2">
        <v>8</v>
      </c>
      <c r="E242" s="2" t="s">
        <v>2048</v>
      </c>
      <c r="F242" s="2" t="s">
        <v>2061</v>
      </c>
    </row>
    <row r="243" spans="1:6" x14ac:dyDescent="0.3">
      <c r="A243" s="3">
        <v>45899</v>
      </c>
      <c r="B243" s="2">
        <v>2025</v>
      </c>
      <c r="C243" s="2" t="s">
        <v>2046</v>
      </c>
      <c r="D243" s="2">
        <v>8</v>
      </c>
      <c r="E243" s="2" t="s">
        <v>2048</v>
      </c>
      <c r="F243" s="2" t="s">
        <v>2061</v>
      </c>
    </row>
    <row r="244" spans="1:6" x14ac:dyDescent="0.3">
      <c r="A244" s="3">
        <v>45900</v>
      </c>
      <c r="B244" s="2">
        <v>2025</v>
      </c>
      <c r="C244" s="2" t="s">
        <v>2046</v>
      </c>
      <c r="D244" s="2">
        <v>8</v>
      </c>
      <c r="E244" s="2" t="s">
        <v>2048</v>
      </c>
      <c r="F244" s="2" t="s">
        <v>2061</v>
      </c>
    </row>
    <row r="245" spans="1:6" x14ac:dyDescent="0.3">
      <c r="A245" s="3">
        <v>45901</v>
      </c>
      <c r="B245" s="2">
        <v>2025</v>
      </c>
      <c r="C245" s="2" t="s">
        <v>2046</v>
      </c>
      <c r="D245" s="2">
        <v>9</v>
      </c>
      <c r="E245" s="2" t="s">
        <v>2049</v>
      </c>
      <c r="F245" s="2" t="s">
        <v>2062</v>
      </c>
    </row>
    <row r="246" spans="1:6" x14ac:dyDescent="0.3">
      <c r="A246" s="3">
        <v>45902</v>
      </c>
      <c r="B246" s="2">
        <v>2025</v>
      </c>
      <c r="C246" s="2" t="s">
        <v>2046</v>
      </c>
      <c r="D246" s="2">
        <v>9</v>
      </c>
      <c r="E246" s="2" t="s">
        <v>2049</v>
      </c>
      <c r="F246" s="2" t="s">
        <v>2062</v>
      </c>
    </row>
    <row r="247" spans="1:6" x14ac:dyDescent="0.3">
      <c r="A247" s="3">
        <v>45903</v>
      </c>
      <c r="B247" s="2">
        <v>2025</v>
      </c>
      <c r="C247" s="2" t="s">
        <v>2046</v>
      </c>
      <c r="D247" s="2">
        <v>9</v>
      </c>
      <c r="E247" s="2" t="s">
        <v>2049</v>
      </c>
      <c r="F247" s="2" t="s">
        <v>2062</v>
      </c>
    </row>
    <row r="248" spans="1:6" x14ac:dyDescent="0.3">
      <c r="A248" s="3">
        <v>45904</v>
      </c>
      <c r="B248" s="2">
        <v>2025</v>
      </c>
      <c r="C248" s="2" t="s">
        <v>2046</v>
      </c>
      <c r="D248" s="2">
        <v>9</v>
      </c>
      <c r="E248" s="2" t="s">
        <v>2049</v>
      </c>
      <c r="F248" s="2" t="s">
        <v>2062</v>
      </c>
    </row>
    <row r="249" spans="1:6" x14ac:dyDescent="0.3">
      <c r="A249" s="3">
        <v>45905</v>
      </c>
      <c r="B249" s="2">
        <v>2025</v>
      </c>
      <c r="C249" s="2" t="s">
        <v>2046</v>
      </c>
      <c r="D249" s="2">
        <v>9</v>
      </c>
      <c r="E249" s="2" t="s">
        <v>2049</v>
      </c>
      <c r="F249" s="2" t="s">
        <v>2062</v>
      </c>
    </row>
    <row r="250" spans="1:6" x14ac:dyDescent="0.3">
      <c r="A250" s="3">
        <v>45906</v>
      </c>
      <c r="B250" s="2">
        <v>2025</v>
      </c>
      <c r="C250" s="2" t="s">
        <v>2046</v>
      </c>
      <c r="D250" s="2">
        <v>9</v>
      </c>
      <c r="E250" s="2" t="s">
        <v>2049</v>
      </c>
      <c r="F250" s="2" t="s">
        <v>2062</v>
      </c>
    </row>
    <row r="251" spans="1:6" x14ac:dyDescent="0.3">
      <c r="A251" s="3">
        <v>45907</v>
      </c>
      <c r="B251" s="2">
        <v>2025</v>
      </c>
      <c r="C251" s="2" t="s">
        <v>2046</v>
      </c>
      <c r="D251" s="2">
        <v>9</v>
      </c>
      <c r="E251" s="2" t="s">
        <v>2049</v>
      </c>
      <c r="F251" s="2" t="s">
        <v>2062</v>
      </c>
    </row>
    <row r="252" spans="1:6" x14ac:dyDescent="0.3">
      <c r="A252" s="3">
        <v>45908</v>
      </c>
      <c r="B252" s="2">
        <v>2025</v>
      </c>
      <c r="C252" s="2" t="s">
        <v>2046</v>
      </c>
      <c r="D252" s="2">
        <v>9</v>
      </c>
      <c r="E252" s="2" t="s">
        <v>2049</v>
      </c>
      <c r="F252" s="2" t="s">
        <v>2062</v>
      </c>
    </row>
    <row r="253" spans="1:6" x14ac:dyDescent="0.3">
      <c r="A253" s="3">
        <v>45909</v>
      </c>
      <c r="B253" s="2">
        <v>2025</v>
      </c>
      <c r="C253" s="2" t="s">
        <v>2046</v>
      </c>
      <c r="D253" s="2">
        <v>9</v>
      </c>
      <c r="E253" s="2" t="s">
        <v>2049</v>
      </c>
      <c r="F253" s="2" t="s">
        <v>2062</v>
      </c>
    </row>
    <row r="254" spans="1:6" x14ac:dyDescent="0.3">
      <c r="A254" s="3">
        <v>45910</v>
      </c>
      <c r="B254" s="2">
        <v>2025</v>
      </c>
      <c r="C254" s="2" t="s">
        <v>2046</v>
      </c>
      <c r="D254" s="2">
        <v>9</v>
      </c>
      <c r="E254" s="2" t="s">
        <v>2049</v>
      </c>
      <c r="F254" s="2" t="s">
        <v>2062</v>
      </c>
    </row>
    <row r="255" spans="1:6" x14ac:dyDescent="0.3">
      <c r="A255" s="3">
        <v>45911</v>
      </c>
      <c r="B255" s="2">
        <v>2025</v>
      </c>
      <c r="C255" s="2" t="s">
        <v>2046</v>
      </c>
      <c r="D255" s="2">
        <v>9</v>
      </c>
      <c r="E255" s="2" t="s">
        <v>2049</v>
      </c>
      <c r="F255" s="2" t="s">
        <v>2062</v>
      </c>
    </row>
    <row r="256" spans="1:6" x14ac:dyDescent="0.3">
      <c r="A256" s="3">
        <v>45912</v>
      </c>
      <c r="B256" s="2">
        <v>2025</v>
      </c>
      <c r="C256" s="2" t="s">
        <v>2046</v>
      </c>
      <c r="D256" s="2">
        <v>9</v>
      </c>
      <c r="E256" s="2" t="s">
        <v>2049</v>
      </c>
      <c r="F256" s="2" t="s">
        <v>2062</v>
      </c>
    </row>
    <row r="257" spans="1:6" x14ac:dyDescent="0.3">
      <c r="A257" s="3">
        <v>45913</v>
      </c>
      <c r="B257" s="2">
        <v>2025</v>
      </c>
      <c r="C257" s="2" t="s">
        <v>2046</v>
      </c>
      <c r="D257" s="2">
        <v>9</v>
      </c>
      <c r="E257" s="2" t="s">
        <v>2049</v>
      </c>
      <c r="F257" s="2" t="s">
        <v>2062</v>
      </c>
    </row>
    <row r="258" spans="1:6" x14ac:dyDescent="0.3">
      <c r="A258" s="3">
        <v>45914</v>
      </c>
      <c r="B258" s="2">
        <v>2025</v>
      </c>
      <c r="C258" s="2" t="s">
        <v>2046</v>
      </c>
      <c r="D258" s="2">
        <v>9</v>
      </c>
      <c r="E258" s="2" t="s">
        <v>2049</v>
      </c>
      <c r="F258" s="2" t="s">
        <v>2062</v>
      </c>
    </row>
    <row r="259" spans="1:6" x14ac:dyDescent="0.3">
      <c r="A259" s="3">
        <v>45915</v>
      </c>
      <c r="B259" s="2">
        <v>2025</v>
      </c>
      <c r="C259" s="2" t="s">
        <v>2046</v>
      </c>
      <c r="D259" s="2">
        <v>9</v>
      </c>
      <c r="E259" s="2" t="s">
        <v>2049</v>
      </c>
      <c r="F259" s="2" t="s">
        <v>2062</v>
      </c>
    </row>
    <row r="260" spans="1:6" x14ac:dyDescent="0.3">
      <c r="A260" s="3">
        <v>45916</v>
      </c>
      <c r="B260" s="2">
        <v>2025</v>
      </c>
      <c r="C260" s="2" t="s">
        <v>2046</v>
      </c>
      <c r="D260" s="2">
        <v>9</v>
      </c>
      <c r="E260" s="2" t="s">
        <v>2049</v>
      </c>
      <c r="F260" s="2" t="s">
        <v>2062</v>
      </c>
    </row>
    <row r="261" spans="1:6" x14ac:dyDescent="0.3">
      <c r="A261" s="3">
        <v>45917</v>
      </c>
      <c r="B261" s="2">
        <v>2025</v>
      </c>
      <c r="C261" s="2" t="s">
        <v>2046</v>
      </c>
      <c r="D261" s="2">
        <v>9</v>
      </c>
      <c r="E261" s="2" t="s">
        <v>2049</v>
      </c>
      <c r="F261" s="2" t="s">
        <v>2062</v>
      </c>
    </row>
    <row r="262" spans="1:6" x14ac:dyDescent="0.3">
      <c r="A262" s="3">
        <v>45918</v>
      </c>
      <c r="B262" s="2">
        <v>2025</v>
      </c>
      <c r="C262" s="2" t="s">
        <v>2046</v>
      </c>
      <c r="D262" s="2">
        <v>9</v>
      </c>
      <c r="E262" s="2" t="s">
        <v>2049</v>
      </c>
      <c r="F262" s="2" t="s">
        <v>2062</v>
      </c>
    </row>
    <row r="263" spans="1:6" x14ac:dyDescent="0.3">
      <c r="A263" s="3">
        <v>45919</v>
      </c>
      <c r="B263" s="2">
        <v>2025</v>
      </c>
      <c r="C263" s="2" t="s">
        <v>2046</v>
      </c>
      <c r="D263" s="2">
        <v>9</v>
      </c>
      <c r="E263" s="2" t="s">
        <v>2049</v>
      </c>
      <c r="F263" s="2" t="s">
        <v>2062</v>
      </c>
    </row>
    <row r="264" spans="1:6" x14ac:dyDescent="0.3">
      <c r="A264" s="3">
        <v>45920</v>
      </c>
      <c r="B264" s="2">
        <v>2025</v>
      </c>
      <c r="C264" s="2" t="s">
        <v>2046</v>
      </c>
      <c r="D264" s="2">
        <v>9</v>
      </c>
      <c r="E264" s="2" t="s">
        <v>2049</v>
      </c>
      <c r="F264" s="2" t="s">
        <v>2062</v>
      </c>
    </row>
    <row r="265" spans="1:6" x14ac:dyDescent="0.3">
      <c r="A265" s="3">
        <v>45921</v>
      </c>
      <c r="B265" s="2">
        <v>2025</v>
      </c>
      <c r="C265" s="2" t="s">
        <v>2046</v>
      </c>
      <c r="D265" s="2">
        <v>9</v>
      </c>
      <c r="E265" s="2" t="s">
        <v>2049</v>
      </c>
      <c r="F265" s="2" t="s">
        <v>2062</v>
      </c>
    </row>
    <row r="266" spans="1:6" x14ac:dyDescent="0.3">
      <c r="A266" s="3">
        <v>45922</v>
      </c>
      <c r="B266" s="2">
        <v>2025</v>
      </c>
      <c r="C266" s="2" t="s">
        <v>2046</v>
      </c>
      <c r="D266" s="2">
        <v>9</v>
      </c>
      <c r="E266" s="2" t="s">
        <v>2049</v>
      </c>
      <c r="F266" s="2" t="s">
        <v>2062</v>
      </c>
    </row>
    <row r="267" spans="1:6" x14ac:dyDescent="0.3">
      <c r="A267" s="3">
        <v>45923</v>
      </c>
      <c r="B267" s="2">
        <v>2025</v>
      </c>
      <c r="C267" s="2" t="s">
        <v>2046</v>
      </c>
      <c r="D267" s="2">
        <v>9</v>
      </c>
      <c r="E267" s="2" t="s">
        <v>2049</v>
      </c>
      <c r="F267" s="2" t="s">
        <v>2062</v>
      </c>
    </row>
    <row r="268" spans="1:6" x14ac:dyDescent="0.3">
      <c r="A268" s="3">
        <v>45924</v>
      </c>
      <c r="B268" s="2">
        <v>2025</v>
      </c>
      <c r="C268" s="2" t="s">
        <v>2046</v>
      </c>
      <c r="D268" s="2">
        <v>9</v>
      </c>
      <c r="E268" s="2" t="s">
        <v>2049</v>
      </c>
      <c r="F268" s="2" t="s">
        <v>2062</v>
      </c>
    </row>
    <row r="269" spans="1:6" x14ac:dyDescent="0.3">
      <c r="A269" s="3">
        <v>45925</v>
      </c>
      <c r="B269" s="2">
        <v>2025</v>
      </c>
      <c r="C269" s="2" t="s">
        <v>2046</v>
      </c>
      <c r="D269" s="2">
        <v>9</v>
      </c>
      <c r="E269" s="2" t="s">
        <v>2049</v>
      </c>
      <c r="F269" s="2" t="s">
        <v>2062</v>
      </c>
    </row>
    <row r="270" spans="1:6" x14ac:dyDescent="0.3">
      <c r="A270" s="3">
        <v>45926</v>
      </c>
      <c r="B270" s="2">
        <v>2025</v>
      </c>
      <c r="C270" s="2" t="s">
        <v>2046</v>
      </c>
      <c r="D270" s="2">
        <v>9</v>
      </c>
      <c r="E270" s="2" t="s">
        <v>2049</v>
      </c>
      <c r="F270" s="2" t="s">
        <v>2062</v>
      </c>
    </row>
    <row r="271" spans="1:6" x14ac:dyDescent="0.3">
      <c r="A271" s="3">
        <v>45927</v>
      </c>
      <c r="B271" s="2">
        <v>2025</v>
      </c>
      <c r="C271" s="2" t="s">
        <v>2046</v>
      </c>
      <c r="D271" s="2">
        <v>9</v>
      </c>
      <c r="E271" s="2" t="s">
        <v>2049</v>
      </c>
      <c r="F271" s="2" t="s">
        <v>2062</v>
      </c>
    </row>
    <row r="272" spans="1:6" x14ac:dyDescent="0.3">
      <c r="A272" s="3">
        <v>45928</v>
      </c>
      <c r="B272" s="2">
        <v>2025</v>
      </c>
      <c r="C272" s="2" t="s">
        <v>2046</v>
      </c>
      <c r="D272" s="2">
        <v>9</v>
      </c>
      <c r="E272" s="2" t="s">
        <v>2049</v>
      </c>
      <c r="F272" s="2" t="s">
        <v>2062</v>
      </c>
    </row>
    <row r="273" spans="1:6" x14ac:dyDescent="0.3">
      <c r="A273" s="3">
        <v>45929</v>
      </c>
      <c r="B273" s="2">
        <v>2025</v>
      </c>
      <c r="C273" s="2" t="s">
        <v>2046</v>
      </c>
      <c r="D273" s="2">
        <v>9</v>
      </c>
      <c r="E273" s="2" t="s">
        <v>2049</v>
      </c>
      <c r="F273" s="2" t="s">
        <v>2062</v>
      </c>
    </row>
    <row r="274" spans="1:6" x14ac:dyDescent="0.3">
      <c r="A274" s="3">
        <v>45930</v>
      </c>
      <c r="B274" s="2">
        <v>2025</v>
      </c>
      <c r="C274" s="2" t="s">
        <v>2046</v>
      </c>
      <c r="D274" s="2">
        <v>9</v>
      </c>
      <c r="E274" s="2" t="s">
        <v>2049</v>
      </c>
      <c r="F274" s="2" t="s">
        <v>2062</v>
      </c>
    </row>
    <row r="275" spans="1:6" x14ac:dyDescent="0.3">
      <c r="A275" s="3">
        <v>45931</v>
      </c>
      <c r="B275" s="2">
        <v>2025</v>
      </c>
      <c r="C275" s="2" t="s">
        <v>2050</v>
      </c>
      <c r="D275" s="2">
        <v>10</v>
      </c>
      <c r="E275" s="2" t="s">
        <v>2051</v>
      </c>
      <c r="F275" s="2" t="s">
        <v>2063</v>
      </c>
    </row>
    <row r="276" spans="1:6" x14ac:dyDescent="0.3">
      <c r="A276" s="3">
        <v>45932</v>
      </c>
      <c r="B276" s="2">
        <v>2025</v>
      </c>
      <c r="C276" s="2" t="s">
        <v>2050</v>
      </c>
      <c r="D276" s="2">
        <v>10</v>
      </c>
      <c r="E276" s="2" t="s">
        <v>2051</v>
      </c>
      <c r="F276" s="2" t="s">
        <v>2063</v>
      </c>
    </row>
    <row r="277" spans="1:6" x14ac:dyDescent="0.3">
      <c r="A277" s="3">
        <v>45933</v>
      </c>
      <c r="B277" s="2">
        <v>2025</v>
      </c>
      <c r="C277" s="2" t="s">
        <v>2050</v>
      </c>
      <c r="D277" s="2">
        <v>10</v>
      </c>
      <c r="E277" s="2" t="s">
        <v>2051</v>
      </c>
      <c r="F277" s="2" t="s">
        <v>2063</v>
      </c>
    </row>
    <row r="278" spans="1:6" x14ac:dyDescent="0.3">
      <c r="A278" s="3">
        <v>45934</v>
      </c>
      <c r="B278" s="2">
        <v>2025</v>
      </c>
      <c r="C278" s="2" t="s">
        <v>2050</v>
      </c>
      <c r="D278" s="2">
        <v>10</v>
      </c>
      <c r="E278" s="2" t="s">
        <v>2051</v>
      </c>
      <c r="F278" s="2" t="s">
        <v>2063</v>
      </c>
    </row>
    <row r="279" spans="1:6" x14ac:dyDescent="0.3">
      <c r="A279" s="3">
        <v>45935</v>
      </c>
      <c r="B279" s="2">
        <v>2025</v>
      </c>
      <c r="C279" s="2" t="s">
        <v>2050</v>
      </c>
      <c r="D279" s="2">
        <v>10</v>
      </c>
      <c r="E279" s="2" t="s">
        <v>2051</v>
      </c>
      <c r="F279" s="2" t="s">
        <v>2063</v>
      </c>
    </row>
    <row r="280" spans="1:6" x14ac:dyDescent="0.3">
      <c r="A280" s="3">
        <v>45936</v>
      </c>
      <c r="B280" s="2">
        <v>2025</v>
      </c>
      <c r="C280" s="2" t="s">
        <v>2050</v>
      </c>
      <c r="D280" s="2">
        <v>10</v>
      </c>
      <c r="E280" s="2" t="s">
        <v>2051</v>
      </c>
      <c r="F280" s="2" t="s">
        <v>2063</v>
      </c>
    </row>
    <row r="281" spans="1:6" x14ac:dyDescent="0.3">
      <c r="A281" s="3">
        <v>45937</v>
      </c>
      <c r="B281" s="2">
        <v>2025</v>
      </c>
      <c r="C281" s="2" t="s">
        <v>2050</v>
      </c>
      <c r="D281" s="2">
        <v>10</v>
      </c>
      <c r="E281" s="2" t="s">
        <v>2051</v>
      </c>
      <c r="F281" s="2" t="s">
        <v>2063</v>
      </c>
    </row>
    <row r="282" spans="1:6" x14ac:dyDescent="0.3">
      <c r="A282" s="3">
        <v>45938</v>
      </c>
      <c r="B282" s="2">
        <v>2025</v>
      </c>
      <c r="C282" s="2" t="s">
        <v>2050</v>
      </c>
      <c r="D282" s="2">
        <v>10</v>
      </c>
      <c r="E282" s="2" t="s">
        <v>2051</v>
      </c>
      <c r="F282" s="2" t="s">
        <v>2063</v>
      </c>
    </row>
    <row r="283" spans="1:6" x14ac:dyDescent="0.3">
      <c r="A283" s="3">
        <v>45939</v>
      </c>
      <c r="B283" s="2">
        <v>2025</v>
      </c>
      <c r="C283" s="2" t="s">
        <v>2050</v>
      </c>
      <c r="D283" s="2">
        <v>10</v>
      </c>
      <c r="E283" s="2" t="s">
        <v>2051</v>
      </c>
      <c r="F283" s="2" t="s">
        <v>2063</v>
      </c>
    </row>
    <row r="284" spans="1:6" x14ac:dyDescent="0.3">
      <c r="A284" s="3">
        <v>45940</v>
      </c>
      <c r="B284" s="2">
        <v>2025</v>
      </c>
      <c r="C284" s="2" t="s">
        <v>2050</v>
      </c>
      <c r="D284" s="2">
        <v>10</v>
      </c>
      <c r="E284" s="2" t="s">
        <v>2051</v>
      </c>
      <c r="F284" s="2" t="s">
        <v>2063</v>
      </c>
    </row>
    <row r="285" spans="1:6" x14ac:dyDescent="0.3">
      <c r="A285" s="3">
        <v>45941</v>
      </c>
      <c r="B285" s="2">
        <v>2025</v>
      </c>
      <c r="C285" s="2" t="s">
        <v>2050</v>
      </c>
      <c r="D285" s="2">
        <v>10</v>
      </c>
      <c r="E285" s="2" t="s">
        <v>2051</v>
      </c>
      <c r="F285" s="2" t="s">
        <v>2063</v>
      </c>
    </row>
    <row r="286" spans="1:6" x14ac:dyDescent="0.3">
      <c r="A286" s="3">
        <v>45942</v>
      </c>
      <c r="B286" s="2">
        <v>2025</v>
      </c>
      <c r="C286" s="2" t="s">
        <v>2050</v>
      </c>
      <c r="D286" s="2">
        <v>10</v>
      </c>
      <c r="E286" s="2" t="s">
        <v>2051</v>
      </c>
      <c r="F286" s="2" t="s">
        <v>2063</v>
      </c>
    </row>
    <row r="287" spans="1:6" x14ac:dyDescent="0.3">
      <c r="A287" s="3">
        <v>45943</v>
      </c>
      <c r="B287" s="2">
        <v>2025</v>
      </c>
      <c r="C287" s="2" t="s">
        <v>2050</v>
      </c>
      <c r="D287" s="2">
        <v>10</v>
      </c>
      <c r="E287" s="2" t="s">
        <v>2051</v>
      </c>
      <c r="F287" s="2" t="s">
        <v>2063</v>
      </c>
    </row>
    <row r="288" spans="1:6" x14ac:dyDescent="0.3">
      <c r="A288" s="3">
        <v>45944</v>
      </c>
      <c r="B288" s="2">
        <v>2025</v>
      </c>
      <c r="C288" s="2" t="s">
        <v>2050</v>
      </c>
      <c r="D288" s="2">
        <v>10</v>
      </c>
      <c r="E288" s="2" t="s">
        <v>2051</v>
      </c>
      <c r="F288" s="2" t="s">
        <v>2063</v>
      </c>
    </row>
    <row r="289" spans="1:6" x14ac:dyDescent="0.3">
      <c r="A289" s="3">
        <v>45945</v>
      </c>
      <c r="B289" s="2">
        <v>2025</v>
      </c>
      <c r="C289" s="2" t="s">
        <v>2050</v>
      </c>
      <c r="D289" s="2">
        <v>10</v>
      </c>
      <c r="E289" s="2" t="s">
        <v>2051</v>
      </c>
      <c r="F289" s="2" t="s">
        <v>2063</v>
      </c>
    </row>
    <row r="290" spans="1:6" x14ac:dyDescent="0.3">
      <c r="A290" s="3">
        <v>45946</v>
      </c>
      <c r="B290" s="2">
        <v>2025</v>
      </c>
      <c r="C290" s="2" t="s">
        <v>2050</v>
      </c>
      <c r="D290" s="2">
        <v>10</v>
      </c>
      <c r="E290" s="2" t="s">
        <v>2051</v>
      </c>
      <c r="F290" s="2" t="s">
        <v>2063</v>
      </c>
    </row>
    <row r="291" spans="1:6" x14ac:dyDescent="0.3">
      <c r="A291" s="3">
        <v>45947</v>
      </c>
      <c r="B291" s="2">
        <v>2025</v>
      </c>
      <c r="C291" s="2" t="s">
        <v>2050</v>
      </c>
      <c r="D291" s="2">
        <v>10</v>
      </c>
      <c r="E291" s="2" t="s">
        <v>2051</v>
      </c>
      <c r="F291" s="2" t="s">
        <v>2063</v>
      </c>
    </row>
    <row r="292" spans="1:6" x14ac:dyDescent="0.3">
      <c r="A292" s="3">
        <v>45948</v>
      </c>
      <c r="B292" s="2">
        <v>2025</v>
      </c>
      <c r="C292" s="2" t="s">
        <v>2050</v>
      </c>
      <c r="D292" s="2">
        <v>10</v>
      </c>
      <c r="E292" s="2" t="s">
        <v>2051</v>
      </c>
      <c r="F292" s="2" t="s">
        <v>2063</v>
      </c>
    </row>
    <row r="293" spans="1:6" x14ac:dyDescent="0.3">
      <c r="A293" s="3">
        <v>45949</v>
      </c>
      <c r="B293" s="2">
        <v>2025</v>
      </c>
      <c r="C293" s="2" t="s">
        <v>2050</v>
      </c>
      <c r="D293" s="2">
        <v>10</v>
      </c>
      <c r="E293" s="2" t="s">
        <v>2051</v>
      </c>
      <c r="F293" s="2" t="s">
        <v>2063</v>
      </c>
    </row>
    <row r="294" spans="1:6" x14ac:dyDescent="0.3">
      <c r="A294" s="3">
        <v>45950</v>
      </c>
      <c r="B294" s="2">
        <v>2025</v>
      </c>
      <c r="C294" s="2" t="s">
        <v>2050</v>
      </c>
      <c r="D294" s="2">
        <v>10</v>
      </c>
      <c r="E294" s="2" t="s">
        <v>2051</v>
      </c>
      <c r="F294" s="2" t="s">
        <v>2063</v>
      </c>
    </row>
    <row r="295" spans="1:6" x14ac:dyDescent="0.3">
      <c r="A295" s="3">
        <v>45951</v>
      </c>
      <c r="B295" s="2">
        <v>2025</v>
      </c>
      <c r="C295" s="2" t="s">
        <v>2050</v>
      </c>
      <c r="D295" s="2">
        <v>10</v>
      </c>
      <c r="E295" s="2" t="s">
        <v>2051</v>
      </c>
      <c r="F295" s="2" t="s">
        <v>2063</v>
      </c>
    </row>
    <row r="296" spans="1:6" x14ac:dyDescent="0.3">
      <c r="A296" s="3">
        <v>45952</v>
      </c>
      <c r="B296" s="2">
        <v>2025</v>
      </c>
      <c r="C296" s="2" t="s">
        <v>2050</v>
      </c>
      <c r="D296" s="2">
        <v>10</v>
      </c>
      <c r="E296" s="2" t="s">
        <v>2051</v>
      </c>
      <c r="F296" s="2" t="s">
        <v>2063</v>
      </c>
    </row>
    <row r="297" spans="1:6" x14ac:dyDescent="0.3">
      <c r="A297" s="3">
        <v>45953</v>
      </c>
      <c r="B297" s="2">
        <v>2025</v>
      </c>
      <c r="C297" s="2" t="s">
        <v>2050</v>
      </c>
      <c r="D297" s="2">
        <v>10</v>
      </c>
      <c r="E297" s="2" t="s">
        <v>2051</v>
      </c>
      <c r="F297" s="2" t="s">
        <v>2063</v>
      </c>
    </row>
    <row r="298" spans="1:6" x14ac:dyDescent="0.3">
      <c r="A298" s="3">
        <v>45954</v>
      </c>
      <c r="B298" s="2">
        <v>2025</v>
      </c>
      <c r="C298" s="2" t="s">
        <v>2050</v>
      </c>
      <c r="D298" s="2">
        <v>10</v>
      </c>
      <c r="E298" s="2" t="s">
        <v>2051</v>
      </c>
      <c r="F298" s="2" t="s">
        <v>2063</v>
      </c>
    </row>
    <row r="299" spans="1:6" x14ac:dyDescent="0.3">
      <c r="A299" s="3">
        <v>45955</v>
      </c>
      <c r="B299" s="2">
        <v>2025</v>
      </c>
      <c r="C299" s="2" t="s">
        <v>2050</v>
      </c>
      <c r="D299" s="2">
        <v>10</v>
      </c>
      <c r="E299" s="2" t="s">
        <v>2051</v>
      </c>
      <c r="F299" s="2" t="s">
        <v>2063</v>
      </c>
    </row>
    <row r="300" spans="1:6" x14ac:dyDescent="0.3">
      <c r="A300" s="3">
        <v>45956</v>
      </c>
      <c r="B300" s="2">
        <v>2025</v>
      </c>
      <c r="C300" s="2" t="s">
        <v>2050</v>
      </c>
      <c r="D300" s="2">
        <v>10</v>
      </c>
      <c r="E300" s="2" t="s">
        <v>2051</v>
      </c>
      <c r="F300" s="2" t="s">
        <v>2063</v>
      </c>
    </row>
    <row r="301" spans="1:6" x14ac:dyDescent="0.3">
      <c r="A301" s="3">
        <v>45957</v>
      </c>
      <c r="B301" s="2">
        <v>2025</v>
      </c>
      <c r="C301" s="2" t="s">
        <v>2050</v>
      </c>
      <c r="D301" s="2">
        <v>10</v>
      </c>
      <c r="E301" s="2" t="s">
        <v>2051</v>
      </c>
      <c r="F301" s="2" t="s">
        <v>2063</v>
      </c>
    </row>
    <row r="302" spans="1:6" x14ac:dyDescent="0.3">
      <c r="A302" s="3">
        <v>45958</v>
      </c>
      <c r="B302" s="2">
        <v>2025</v>
      </c>
      <c r="C302" s="2" t="s">
        <v>2050</v>
      </c>
      <c r="D302" s="2">
        <v>10</v>
      </c>
      <c r="E302" s="2" t="s">
        <v>2051</v>
      </c>
      <c r="F302" s="2" t="s">
        <v>2063</v>
      </c>
    </row>
    <row r="303" spans="1:6" x14ac:dyDescent="0.3">
      <c r="A303" s="3">
        <v>45959</v>
      </c>
      <c r="B303" s="2">
        <v>2025</v>
      </c>
      <c r="C303" s="2" t="s">
        <v>2050</v>
      </c>
      <c r="D303" s="2">
        <v>10</v>
      </c>
      <c r="E303" s="2" t="s">
        <v>2051</v>
      </c>
      <c r="F303" s="2" t="s">
        <v>2063</v>
      </c>
    </row>
    <row r="304" spans="1:6" x14ac:dyDescent="0.3">
      <c r="A304" s="3">
        <v>45960</v>
      </c>
      <c r="B304" s="2">
        <v>2025</v>
      </c>
      <c r="C304" s="2" t="s">
        <v>2050</v>
      </c>
      <c r="D304" s="2">
        <v>10</v>
      </c>
      <c r="E304" s="2" t="s">
        <v>2051</v>
      </c>
      <c r="F304" s="2" t="s">
        <v>2063</v>
      </c>
    </row>
    <row r="305" spans="1:6" x14ac:dyDescent="0.3">
      <c r="A305" s="3">
        <v>45961</v>
      </c>
      <c r="B305" s="2">
        <v>2025</v>
      </c>
      <c r="C305" s="2" t="s">
        <v>2050</v>
      </c>
      <c r="D305" s="2">
        <v>10</v>
      </c>
      <c r="E305" s="2" t="s">
        <v>2051</v>
      </c>
      <c r="F305" s="2" t="s">
        <v>2063</v>
      </c>
    </row>
    <row r="306" spans="1:6" x14ac:dyDescent="0.3">
      <c r="A306" s="3">
        <v>45962</v>
      </c>
      <c r="B306" s="2">
        <v>2025</v>
      </c>
      <c r="C306" s="2" t="s">
        <v>2050</v>
      </c>
      <c r="D306" s="2">
        <v>11</v>
      </c>
      <c r="E306" s="2" t="s">
        <v>2052</v>
      </c>
      <c r="F306" s="2" t="s">
        <v>2064</v>
      </c>
    </row>
    <row r="307" spans="1:6" x14ac:dyDescent="0.3">
      <c r="A307" s="3">
        <v>45963</v>
      </c>
      <c r="B307" s="2">
        <v>2025</v>
      </c>
      <c r="C307" s="2" t="s">
        <v>2050</v>
      </c>
      <c r="D307" s="2">
        <v>11</v>
      </c>
      <c r="E307" s="2" t="s">
        <v>2052</v>
      </c>
      <c r="F307" s="2" t="s">
        <v>2064</v>
      </c>
    </row>
    <row r="308" spans="1:6" x14ac:dyDescent="0.3">
      <c r="A308" s="3">
        <v>45964</v>
      </c>
      <c r="B308" s="2">
        <v>2025</v>
      </c>
      <c r="C308" s="2" t="s">
        <v>2050</v>
      </c>
      <c r="D308" s="2">
        <v>11</v>
      </c>
      <c r="E308" s="2" t="s">
        <v>2052</v>
      </c>
      <c r="F308" s="2" t="s">
        <v>2064</v>
      </c>
    </row>
    <row r="309" spans="1:6" x14ac:dyDescent="0.3">
      <c r="A309" s="3">
        <v>45965</v>
      </c>
      <c r="B309" s="2">
        <v>2025</v>
      </c>
      <c r="C309" s="2" t="s">
        <v>2050</v>
      </c>
      <c r="D309" s="2">
        <v>11</v>
      </c>
      <c r="E309" s="2" t="s">
        <v>2052</v>
      </c>
      <c r="F309" s="2" t="s">
        <v>2064</v>
      </c>
    </row>
    <row r="310" spans="1:6" x14ac:dyDescent="0.3">
      <c r="A310" s="3">
        <v>45966</v>
      </c>
      <c r="B310" s="2">
        <v>2025</v>
      </c>
      <c r="C310" s="2" t="s">
        <v>2050</v>
      </c>
      <c r="D310" s="2">
        <v>11</v>
      </c>
      <c r="E310" s="2" t="s">
        <v>2052</v>
      </c>
      <c r="F310" s="2" t="s">
        <v>2064</v>
      </c>
    </row>
    <row r="311" spans="1:6" x14ac:dyDescent="0.3">
      <c r="A311" s="3">
        <v>45967</v>
      </c>
      <c r="B311" s="2">
        <v>2025</v>
      </c>
      <c r="C311" s="2" t="s">
        <v>2050</v>
      </c>
      <c r="D311" s="2">
        <v>11</v>
      </c>
      <c r="E311" s="2" t="s">
        <v>2052</v>
      </c>
      <c r="F311" s="2" t="s">
        <v>2064</v>
      </c>
    </row>
    <row r="312" spans="1:6" x14ac:dyDescent="0.3">
      <c r="A312" s="3">
        <v>45968</v>
      </c>
      <c r="B312" s="2">
        <v>2025</v>
      </c>
      <c r="C312" s="2" t="s">
        <v>2050</v>
      </c>
      <c r="D312" s="2">
        <v>11</v>
      </c>
      <c r="E312" s="2" t="s">
        <v>2052</v>
      </c>
      <c r="F312" s="2" t="s">
        <v>2064</v>
      </c>
    </row>
    <row r="313" spans="1:6" x14ac:dyDescent="0.3">
      <c r="A313" s="3">
        <v>45969</v>
      </c>
      <c r="B313" s="2">
        <v>2025</v>
      </c>
      <c r="C313" s="2" t="s">
        <v>2050</v>
      </c>
      <c r="D313" s="2">
        <v>11</v>
      </c>
      <c r="E313" s="2" t="s">
        <v>2052</v>
      </c>
      <c r="F313" s="2" t="s">
        <v>2064</v>
      </c>
    </row>
    <row r="314" spans="1:6" x14ac:dyDescent="0.3">
      <c r="A314" s="3">
        <v>45970</v>
      </c>
      <c r="B314" s="2">
        <v>2025</v>
      </c>
      <c r="C314" s="2" t="s">
        <v>2050</v>
      </c>
      <c r="D314" s="2">
        <v>11</v>
      </c>
      <c r="E314" s="2" t="s">
        <v>2052</v>
      </c>
      <c r="F314" s="2" t="s">
        <v>2064</v>
      </c>
    </row>
    <row r="315" spans="1:6" x14ac:dyDescent="0.3">
      <c r="A315" s="3">
        <v>45971</v>
      </c>
      <c r="B315" s="2">
        <v>2025</v>
      </c>
      <c r="C315" s="2" t="s">
        <v>2050</v>
      </c>
      <c r="D315" s="2">
        <v>11</v>
      </c>
      <c r="E315" s="2" t="s">
        <v>2052</v>
      </c>
      <c r="F315" s="2" t="s">
        <v>2064</v>
      </c>
    </row>
    <row r="316" spans="1:6" x14ac:dyDescent="0.3">
      <c r="A316" s="3">
        <v>45972</v>
      </c>
      <c r="B316" s="2">
        <v>2025</v>
      </c>
      <c r="C316" s="2" t="s">
        <v>2050</v>
      </c>
      <c r="D316" s="2">
        <v>11</v>
      </c>
      <c r="E316" s="2" t="s">
        <v>2052</v>
      </c>
      <c r="F316" s="2" t="s">
        <v>2064</v>
      </c>
    </row>
    <row r="317" spans="1:6" x14ac:dyDescent="0.3">
      <c r="A317" s="3">
        <v>45973</v>
      </c>
      <c r="B317" s="2">
        <v>2025</v>
      </c>
      <c r="C317" s="2" t="s">
        <v>2050</v>
      </c>
      <c r="D317" s="2">
        <v>11</v>
      </c>
      <c r="E317" s="2" t="s">
        <v>2052</v>
      </c>
      <c r="F317" s="2" t="s">
        <v>2064</v>
      </c>
    </row>
    <row r="318" spans="1:6" x14ac:dyDescent="0.3">
      <c r="A318" s="3">
        <v>45974</v>
      </c>
      <c r="B318" s="2">
        <v>2025</v>
      </c>
      <c r="C318" s="2" t="s">
        <v>2050</v>
      </c>
      <c r="D318" s="2">
        <v>11</v>
      </c>
      <c r="E318" s="2" t="s">
        <v>2052</v>
      </c>
      <c r="F318" s="2" t="s">
        <v>2064</v>
      </c>
    </row>
    <row r="319" spans="1:6" x14ac:dyDescent="0.3">
      <c r="A319" s="3">
        <v>45975</v>
      </c>
      <c r="B319" s="2">
        <v>2025</v>
      </c>
      <c r="C319" s="2" t="s">
        <v>2050</v>
      </c>
      <c r="D319" s="2">
        <v>11</v>
      </c>
      <c r="E319" s="2" t="s">
        <v>2052</v>
      </c>
      <c r="F319" s="2" t="s">
        <v>2064</v>
      </c>
    </row>
    <row r="320" spans="1:6" x14ac:dyDescent="0.3">
      <c r="A320" s="3">
        <v>45976</v>
      </c>
      <c r="B320" s="2">
        <v>2025</v>
      </c>
      <c r="C320" s="2" t="s">
        <v>2050</v>
      </c>
      <c r="D320" s="2">
        <v>11</v>
      </c>
      <c r="E320" s="2" t="s">
        <v>2052</v>
      </c>
      <c r="F320" s="2" t="s">
        <v>2064</v>
      </c>
    </row>
    <row r="321" spans="1:6" x14ac:dyDescent="0.3">
      <c r="A321" s="3">
        <v>45977</v>
      </c>
      <c r="B321" s="2">
        <v>2025</v>
      </c>
      <c r="C321" s="2" t="s">
        <v>2050</v>
      </c>
      <c r="D321" s="2">
        <v>11</v>
      </c>
      <c r="E321" s="2" t="s">
        <v>2052</v>
      </c>
      <c r="F321" s="2" t="s">
        <v>2064</v>
      </c>
    </row>
    <row r="322" spans="1:6" x14ac:dyDescent="0.3">
      <c r="A322" s="3">
        <v>45978</v>
      </c>
      <c r="B322" s="2">
        <v>2025</v>
      </c>
      <c r="C322" s="2" t="s">
        <v>2050</v>
      </c>
      <c r="D322" s="2">
        <v>11</v>
      </c>
      <c r="E322" s="2" t="s">
        <v>2052</v>
      </c>
      <c r="F322" s="2" t="s">
        <v>2064</v>
      </c>
    </row>
    <row r="323" spans="1:6" x14ac:dyDescent="0.3">
      <c r="A323" s="3">
        <v>45979</v>
      </c>
      <c r="B323" s="2">
        <v>2025</v>
      </c>
      <c r="C323" s="2" t="s">
        <v>2050</v>
      </c>
      <c r="D323" s="2">
        <v>11</v>
      </c>
      <c r="E323" s="2" t="s">
        <v>2052</v>
      </c>
      <c r="F323" s="2" t="s">
        <v>2064</v>
      </c>
    </row>
    <row r="324" spans="1:6" x14ac:dyDescent="0.3">
      <c r="A324" s="3">
        <v>45980</v>
      </c>
      <c r="B324" s="2">
        <v>2025</v>
      </c>
      <c r="C324" s="2" t="s">
        <v>2050</v>
      </c>
      <c r="D324" s="2">
        <v>11</v>
      </c>
      <c r="E324" s="2" t="s">
        <v>2052</v>
      </c>
      <c r="F324" s="2" t="s">
        <v>2064</v>
      </c>
    </row>
    <row r="325" spans="1:6" x14ac:dyDescent="0.3">
      <c r="A325" s="3">
        <v>45981</v>
      </c>
      <c r="B325" s="2">
        <v>2025</v>
      </c>
      <c r="C325" s="2" t="s">
        <v>2050</v>
      </c>
      <c r="D325" s="2">
        <v>11</v>
      </c>
      <c r="E325" s="2" t="s">
        <v>2052</v>
      </c>
      <c r="F325" s="2" t="s">
        <v>2064</v>
      </c>
    </row>
    <row r="326" spans="1:6" x14ac:dyDescent="0.3">
      <c r="A326" s="3">
        <v>45982</v>
      </c>
      <c r="B326" s="2">
        <v>2025</v>
      </c>
      <c r="C326" s="2" t="s">
        <v>2050</v>
      </c>
      <c r="D326" s="2">
        <v>11</v>
      </c>
      <c r="E326" s="2" t="s">
        <v>2052</v>
      </c>
      <c r="F326" s="2" t="s">
        <v>2064</v>
      </c>
    </row>
    <row r="327" spans="1:6" x14ac:dyDescent="0.3">
      <c r="A327" s="3">
        <v>45983</v>
      </c>
      <c r="B327" s="2">
        <v>2025</v>
      </c>
      <c r="C327" s="2" t="s">
        <v>2050</v>
      </c>
      <c r="D327" s="2">
        <v>11</v>
      </c>
      <c r="E327" s="2" t="s">
        <v>2052</v>
      </c>
      <c r="F327" s="2" t="s">
        <v>2064</v>
      </c>
    </row>
    <row r="328" spans="1:6" x14ac:dyDescent="0.3">
      <c r="A328" s="3">
        <v>45984</v>
      </c>
      <c r="B328" s="2">
        <v>2025</v>
      </c>
      <c r="C328" s="2" t="s">
        <v>2050</v>
      </c>
      <c r="D328" s="2">
        <v>11</v>
      </c>
      <c r="E328" s="2" t="s">
        <v>2052</v>
      </c>
      <c r="F328" s="2" t="s">
        <v>2064</v>
      </c>
    </row>
    <row r="329" spans="1:6" x14ac:dyDescent="0.3">
      <c r="A329" s="3">
        <v>45985</v>
      </c>
      <c r="B329" s="2">
        <v>2025</v>
      </c>
      <c r="C329" s="2" t="s">
        <v>2050</v>
      </c>
      <c r="D329" s="2">
        <v>11</v>
      </c>
      <c r="E329" s="2" t="s">
        <v>2052</v>
      </c>
      <c r="F329" s="2" t="s">
        <v>2064</v>
      </c>
    </row>
    <row r="330" spans="1:6" x14ac:dyDescent="0.3">
      <c r="A330" s="3">
        <v>45986</v>
      </c>
      <c r="B330" s="2">
        <v>2025</v>
      </c>
      <c r="C330" s="2" t="s">
        <v>2050</v>
      </c>
      <c r="D330" s="2">
        <v>11</v>
      </c>
      <c r="E330" s="2" t="s">
        <v>2052</v>
      </c>
      <c r="F330" s="2" t="s">
        <v>2064</v>
      </c>
    </row>
    <row r="331" spans="1:6" x14ac:dyDescent="0.3">
      <c r="A331" s="3">
        <v>45987</v>
      </c>
      <c r="B331" s="2">
        <v>2025</v>
      </c>
      <c r="C331" s="2" t="s">
        <v>2050</v>
      </c>
      <c r="D331" s="2">
        <v>11</v>
      </c>
      <c r="E331" s="2" t="s">
        <v>2052</v>
      </c>
      <c r="F331" s="2" t="s">
        <v>2064</v>
      </c>
    </row>
    <row r="332" spans="1:6" x14ac:dyDescent="0.3">
      <c r="A332" s="3">
        <v>45988</v>
      </c>
      <c r="B332" s="2">
        <v>2025</v>
      </c>
      <c r="C332" s="2" t="s">
        <v>2050</v>
      </c>
      <c r="D332" s="2">
        <v>11</v>
      </c>
      <c r="E332" s="2" t="s">
        <v>2052</v>
      </c>
      <c r="F332" s="2" t="s">
        <v>2064</v>
      </c>
    </row>
    <row r="333" spans="1:6" x14ac:dyDescent="0.3">
      <c r="A333" s="3">
        <v>45989</v>
      </c>
      <c r="B333" s="2">
        <v>2025</v>
      </c>
      <c r="C333" s="2" t="s">
        <v>2050</v>
      </c>
      <c r="D333" s="2">
        <v>11</v>
      </c>
      <c r="E333" s="2" t="s">
        <v>2052</v>
      </c>
      <c r="F333" s="2" t="s">
        <v>2064</v>
      </c>
    </row>
    <row r="334" spans="1:6" x14ac:dyDescent="0.3">
      <c r="A334" s="3">
        <v>45990</v>
      </c>
      <c r="B334" s="2">
        <v>2025</v>
      </c>
      <c r="C334" s="2" t="s">
        <v>2050</v>
      </c>
      <c r="D334" s="2">
        <v>11</v>
      </c>
      <c r="E334" s="2" t="s">
        <v>2052</v>
      </c>
      <c r="F334" s="2" t="s">
        <v>2064</v>
      </c>
    </row>
    <row r="335" spans="1:6" x14ac:dyDescent="0.3">
      <c r="A335" s="3">
        <v>45991</v>
      </c>
      <c r="B335" s="2">
        <v>2025</v>
      </c>
      <c r="C335" s="2" t="s">
        <v>2050</v>
      </c>
      <c r="D335" s="2">
        <v>11</v>
      </c>
      <c r="E335" s="2" t="s">
        <v>2052</v>
      </c>
      <c r="F335" s="2" t="s">
        <v>2064</v>
      </c>
    </row>
    <row r="336" spans="1:6" x14ac:dyDescent="0.3">
      <c r="A336" s="3">
        <v>45992</v>
      </c>
      <c r="B336" s="2">
        <v>2025</v>
      </c>
      <c r="C336" s="2" t="s">
        <v>2050</v>
      </c>
      <c r="D336" s="2">
        <v>12</v>
      </c>
      <c r="E336" s="2" t="s">
        <v>2053</v>
      </c>
      <c r="F336" s="2" t="s">
        <v>2065</v>
      </c>
    </row>
    <row r="337" spans="1:6" x14ac:dyDescent="0.3">
      <c r="A337" s="3">
        <v>45993</v>
      </c>
      <c r="B337" s="2">
        <v>2025</v>
      </c>
      <c r="C337" s="2" t="s">
        <v>2050</v>
      </c>
      <c r="D337" s="2">
        <v>12</v>
      </c>
      <c r="E337" s="2" t="s">
        <v>2053</v>
      </c>
      <c r="F337" s="2" t="s">
        <v>2065</v>
      </c>
    </row>
    <row r="338" spans="1:6" x14ac:dyDescent="0.3">
      <c r="A338" s="3">
        <v>45994</v>
      </c>
      <c r="B338" s="2">
        <v>2025</v>
      </c>
      <c r="C338" s="2" t="s">
        <v>2050</v>
      </c>
      <c r="D338" s="2">
        <v>12</v>
      </c>
      <c r="E338" s="2" t="s">
        <v>2053</v>
      </c>
      <c r="F338" s="2" t="s">
        <v>2065</v>
      </c>
    </row>
    <row r="339" spans="1:6" x14ac:dyDescent="0.3">
      <c r="A339" s="3">
        <v>45995</v>
      </c>
      <c r="B339" s="2">
        <v>2025</v>
      </c>
      <c r="C339" s="2" t="s">
        <v>2050</v>
      </c>
      <c r="D339" s="2">
        <v>12</v>
      </c>
      <c r="E339" s="2" t="s">
        <v>2053</v>
      </c>
      <c r="F339" s="2" t="s">
        <v>2065</v>
      </c>
    </row>
    <row r="340" spans="1:6" x14ac:dyDescent="0.3">
      <c r="A340" s="3">
        <v>45996</v>
      </c>
      <c r="B340" s="2">
        <v>2025</v>
      </c>
      <c r="C340" s="2" t="s">
        <v>2050</v>
      </c>
      <c r="D340" s="2">
        <v>12</v>
      </c>
      <c r="E340" s="2" t="s">
        <v>2053</v>
      </c>
      <c r="F340" s="2" t="s">
        <v>2065</v>
      </c>
    </row>
    <row r="341" spans="1:6" x14ac:dyDescent="0.3">
      <c r="A341" s="3">
        <v>45997</v>
      </c>
      <c r="B341" s="2">
        <v>2025</v>
      </c>
      <c r="C341" s="2" t="s">
        <v>2050</v>
      </c>
      <c r="D341" s="2">
        <v>12</v>
      </c>
      <c r="E341" s="2" t="s">
        <v>2053</v>
      </c>
      <c r="F341" s="2" t="s">
        <v>2065</v>
      </c>
    </row>
    <row r="342" spans="1:6" x14ac:dyDescent="0.3">
      <c r="A342" s="3">
        <v>45998</v>
      </c>
      <c r="B342" s="2">
        <v>2025</v>
      </c>
      <c r="C342" s="2" t="s">
        <v>2050</v>
      </c>
      <c r="D342" s="2">
        <v>12</v>
      </c>
      <c r="E342" s="2" t="s">
        <v>2053</v>
      </c>
      <c r="F342" s="2" t="s">
        <v>2065</v>
      </c>
    </row>
    <row r="343" spans="1:6" x14ac:dyDescent="0.3">
      <c r="A343" s="3">
        <v>45999</v>
      </c>
      <c r="B343" s="2">
        <v>2025</v>
      </c>
      <c r="C343" s="2" t="s">
        <v>2050</v>
      </c>
      <c r="D343" s="2">
        <v>12</v>
      </c>
      <c r="E343" s="2" t="s">
        <v>2053</v>
      </c>
      <c r="F343" s="2" t="s">
        <v>2065</v>
      </c>
    </row>
    <row r="344" spans="1:6" x14ac:dyDescent="0.3">
      <c r="A344" s="3">
        <v>46000</v>
      </c>
      <c r="B344" s="2">
        <v>2025</v>
      </c>
      <c r="C344" s="2" t="s">
        <v>2050</v>
      </c>
      <c r="D344" s="2">
        <v>12</v>
      </c>
      <c r="E344" s="2" t="s">
        <v>2053</v>
      </c>
      <c r="F344" s="2" t="s">
        <v>2065</v>
      </c>
    </row>
    <row r="345" spans="1:6" x14ac:dyDescent="0.3">
      <c r="A345" s="3">
        <v>46001</v>
      </c>
      <c r="B345" s="2">
        <v>2025</v>
      </c>
      <c r="C345" s="2" t="s">
        <v>2050</v>
      </c>
      <c r="D345" s="2">
        <v>12</v>
      </c>
      <c r="E345" s="2" t="s">
        <v>2053</v>
      </c>
      <c r="F345" s="2" t="s">
        <v>2065</v>
      </c>
    </row>
    <row r="346" spans="1:6" x14ac:dyDescent="0.3">
      <c r="A346" s="3">
        <v>46002</v>
      </c>
      <c r="B346" s="2">
        <v>2025</v>
      </c>
      <c r="C346" s="2" t="s">
        <v>2050</v>
      </c>
      <c r="D346" s="2">
        <v>12</v>
      </c>
      <c r="E346" s="2" t="s">
        <v>2053</v>
      </c>
      <c r="F346" s="2" t="s">
        <v>2065</v>
      </c>
    </row>
    <row r="347" spans="1:6" x14ac:dyDescent="0.3">
      <c r="A347" s="3">
        <v>46003</v>
      </c>
      <c r="B347" s="2">
        <v>2025</v>
      </c>
      <c r="C347" s="2" t="s">
        <v>2050</v>
      </c>
      <c r="D347" s="2">
        <v>12</v>
      </c>
      <c r="E347" s="2" t="s">
        <v>2053</v>
      </c>
      <c r="F347" s="2" t="s">
        <v>2065</v>
      </c>
    </row>
    <row r="348" spans="1:6" x14ac:dyDescent="0.3">
      <c r="A348" s="3">
        <v>46004</v>
      </c>
      <c r="B348" s="2">
        <v>2025</v>
      </c>
      <c r="C348" s="2" t="s">
        <v>2050</v>
      </c>
      <c r="D348" s="2">
        <v>12</v>
      </c>
      <c r="E348" s="2" t="s">
        <v>2053</v>
      </c>
      <c r="F348" s="2" t="s">
        <v>2065</v>
      </c>
    </row>
    <row r="349" spans="1:6" x14ac:dyDescent="0.3">
      <c r="A349" s="3">
        <v>46005</v>
      </c>
      <c r="B349" s="2">
        <v>2025</v>
      </c>
      <c r="C349" s="2" t="s">
        <v>2050</v>
      </c>
      <c r="D349" s="2">
        <v>12</v>
      </c>
      <c r="E349" s="2" t="s">
        <v>2053</v>
      </c>
      <c r="F349" s="2" t="s">
        <v>2065</v>
      </c>
    </row>
    <row r="350" spans="1:6" x14ac:dyDescent="0.3">
      <c r="A350" s="3">
        <v>46006</v>
      </c>
      <c r="B350" s="2">
        <v>2025</v>
      </c>
      <c r="C350" s="2" t="s">
        <v>2050</v>
      </c>
      <c r="D350" s="2">
        <v>12</v>
      </c>
      <c r="E350" s="2" t="s">
        <v>2053</v>
      </c>
      <c r="F350" s="2" t="s">
        <v>2065</v>
      </c>
    </row>
    <row r="351" spans="1:6" x14ac:dyDescent="0.3">
      <c r="A351" s="3">
        <v>46007</v>
      </c>
      <c r="B351" s="2">
        <v>2025</v>
      </c>
      <c r="C351" s="2" t="s">
        <v>2050</v>
      </c>
      <c r="D351" s="2">
        <v>12</v>
      </c>
      <c r="E351" s="2" t="s">
        <v>2053</v>
      </c>
      <c r="F351" s="2" t="s">
        <v>2065</v>
      </c>
    </row>
    <row r="352" spans="1:6" x14ac:dyDescent="0.3">
      <c r="A352" s="3">
        <v>46008</v>
      </c>
      <c r="B352" s="2">
        <v>2025</v>
      </c>
      <c r="C352" s="2" t="s">
        <v>2050</v>
      </c>
      <c r="D352" s="2">
        <v>12</v>
      </c>
      <c r="E352" s="2" t="s">
        <v>2053</v>
      </c>
      <c r="F352" s="2" t="s">
        <v>2065</v>
      </c>
    </row>
    <row r="353" spans="1:6" x14ac:dyDescent="0.3">
      <c r="A353" s="3">
        <v>46009</v>
      </c>
      <c r="B353" s="2">
        <v>2025</v>
      </c>
      <c r="C353" s="2" t="s">
        <v>2050</v>
      </c>
      <c r="D353" s="2">
        <v>12</v>
      </c>
      <c r="E353" s="2" t="s">
        <v>2053</v>
      </c>
      <c r="F353" s="2" t="s">
        <v>2065</v>
      </c>
    </row>
    <row r="354" spans="1:6" x14ac:dyDescent="0.3">
      <c r="A354" s="3">
        <v>46010</v>
      </c>
      <c r="B354" s="2">
        <v>2025</v>
      </c>
      <c r="C354" s="2" t="s">
        <v>2050</v>
      </c>
      <c r="D354" s="2">
        <v>12</v>
      </c>
      <c r="E354" s="2" t="s">
        <v>2053</v>
      </c>
      <c r="F354" s="2" t="s">
        <v>2065</v>
      </c>
    </row>
    <row r="355" spans="1:6" x14ac:dyDescent="0.3">
      <c r="A355" s="3">
        <v>46011</v>
      </c>
      <c r="B355" s="2">
        <v>2025</v>
      </c>
      <c r="C355" s="2" t="s">
        <v>2050</v>
      </c>
      <c r="D355" s="2">
        <v>12</v>
      </c>
      <c r="E355" s="2" t="s">
        <v>2053</v>
      </c>
      <c r="F355" s="2" t="s">
        <v>2065</v>
      </c>
    </row>
    <row r="356" spans="1:6" x14ac:dyDescent="0.3">
      <c r="A356" s="3">
        <v>46012</v>
      </c>
      <c r="B356" s="2">
        <v>2025</v>
      </c>
      <c r="C356" s="2" t="s">
        <v>2050</v>
      </c>
      <c r="D356" s="2">
        <v>12</v>
      </c>
      <c r="E356" s="2" t="s">
        <v>2053</v>
      </c>
      <c r="F356" s="2" t="s">
        <v>2065</v>
      </c>
    </row>
    <row r="357" spans="1:6" x14ac:dyDescent="0.3">
      <c r="A357" s="3">
        <v>46013</v>
      </c>
      <c r="B357" s="2">
        <v>2025</v>
      </c>
      <c r="C357" s="2" t="s">
        <v>2050</v>
      </c>
      <c r="D357" s="2">
        <v>12</v>
      </c>
      <c r="E357" s="2" t="s">
        <v>2053</v>
      </c>
      <c r="F357" s="2" t="s">
        <v>2065</v>
      </c>
    </row>
    <row r="358" spans="1:6" x14ac:dyDescent="0.3">
      <c r="A358" s="3">
        <v>46014</v>
      </c>
      <c r="B358" s="2">
        <v>2025</v>
      </c>
      <c r="C358" s="2" t="s">
        <v>2050</v>
      </c>
      <c r="D358" s="2">
        <v>12</v>
      </c>
      <c r="E358" s="2" t="s">
        <v>2053</v>
      </c>
      <c r="F358" s="2" t="s">
        <v>2065</v>
      </c>
    </row>
    <row r="359" spans="1:6" x14ac:dyDescent="0.3">
      <c r="A359" s="3">
        <v>46015</v>
      </c>
      <c r="B359" s="2">
        <v>2025</v>
      </c>
      <c r="C359" s="2" t="s">
        <v>2050</v>
      </c>
      <c r="D359" s="2">
        <v>12</v>
      </c>
      <c r="E359" s="2" t="s">
        <v>2053</v>
      </c>
      <c r="F359" s="2" t="s">
        <v>2065</v>
      </c>
    </row>
    <row r="360" spans="1:6" x14ac:dyDescent="0.3">
      <c r="A360" s="3">
        <v>46016</v>
      </c>
      <c r="B360" s="2">
        <v>2025</v>
      </c>
      <c r="C360" s="2" t="s">
        <v>2050</v>
      </c>
      <c r="D360" s="2">
        <v>12</v>
      </c>
      <c r="E360" s="2" t="s">
        <v>2053</v>
      </c>
      <c r="F360" s="2" t="s">
        <v>2065</v>
      </c>
    </row>
    <row r="361" spans="1:6" x14ac:dyDescent="0.3">
      <c r="A361" s="3">
        <v>46017</v>
      </c>
      <c r="B361" s="2">
        <v>2025</v>
      </c>
      <c r="C361" s="2" t="s">
        <v>2050</v>
      </c>
      <c r="D361" s="2">
        <v>12</v>
      </c>
      <c r="E361" s="2" t="s">
        <v>2053</v>
      </c>
      <c r="F361" s="2" t="s">
        <v>2065</v>
      </c>
    </row>
    <row r="362" spans="1:6" x14ac:dyDescent="0.3">
      <c r="A362" s="3">
        <v>46018</v>
      </c>
      <c r="B362" s="2">
        <v>2025</v>
      </c>
      <c r="C362" s="2" t="s">
        <v>2050</v>
      </c>
      <c r="D362" s="2">
        <v>12</v>
      </c>
      <c r="E362" s="2" t="s">
        <v>2053</v>
      </c>
      <c r="F362" s="2" t="s">
        <v>2065</v>
      </c>
    </row>
    <row r="363" spans="1:6" x14ac:dyDescent="0.3">
      <c r="A363" s="3">
        <v>46019</v>
      </c>
      <c r="B363" s="2">
        <v>2025</v>
      </c>
      <c r="C363" s="2" t="s">
        <v>2050</v>
      </c>
      <c r="D363" s="2">
        <v>12</v>
      </c>
      <c r="E363" s="2" t="s">
        <v>2053</v>
      </c>
      <c r="F363" s="2" t="s">
        <v>2065</v>
      </c>
    </row>
    <row r="364" spans="1:6" x14ac:dyDescent="0.3">
      <c r="A364" s="3">
        <v>46020</v>
      </c>
      <c r="B364" s="2">
        <v>2025</v>
      </c>
      <c r="C364" s="2" t="s">
        <v>2050</v>
      </c>
      <c r="D364" s="2">
        <v>12</v>
      </c>
      <c r="E364" s="2" t="s">
        <v>2053</v>
      </c>
      <c r="F364" s="2" t="s">
        <v>2065</v>
      </c>
    </row>
    <row r="365" spans="1:6" x14ac:dyDescent="0.3">
      <c r="A365" s="3">
        <v>46021</v>
      </c>
      <c r="B365" s="2">
        <v>2025</v>
      </c>
      <c r="C365" s="2" t="s">
        <v>2050</v>
      </c>
      <c r="D365" s="2">
        <v>12</v>
      </c>
      <c r="E365" s="2" t="s">
        <v>2053</v>
      </c>
      <c r="F365" s="2" t="s">
        <v>2065</v>
      </c>
    </row>
    <row r="366" spans="1:6" x14ac:dyDescent="0.3">
      <c r="A366" s="3">
        <v>46022</v>
      </c>
      <c r="B366" s="2">
        <v>2025</v>
      </c>
      <c r="C366" s="2" t="s">
        <v>2050</v>
      </c>
      <c r="D366" s="2">
        <v>12</v>
      </c>
      <c r="E366" s="2" t="s">
        <v>2053</v>
      </c>
      <c r="F366" s="2" t="s">
        <v>2065</v>
      </c>
    </row>
    <row r="367" spans="1:6" x14ac:dyDescent="0.3">
      <c r="A367" s="3">
        <v>46023</v>
      </c>
      <c r="B367" s="2">
        <v>2026</v>
      </c>
      <c r="C367" s="2" t="s">
        <v>2038</v>
      </c>
      <c r="D367" s="2">
        <v>1</v>
      </c>
      <c r="E367" s="2" t="s">
        <v>2039</v>
      </c>
      <c r="F367" s="2" t="s">
        <v>2066</v>
      </c>
    </row>
    <row r="368" spans="1:6" x14ac:dyDescent="0.3">
      <c r="A368" s="3">
        <v>46024</v>
      </c>
      <c r="B368" s="2">
        <v>2026</v>
      </c>
      <c r="C368" s="2" t="s">
        <v>2038</v>
      </c>
      <c r="D368" s="2">
        <v>1</v>
      </c>
      <c r="E368" s="2" t="s">
        <v>2039</v>
      </c>
      <c r="F368" s="2" t="s">
        <v>2066</v>
      </c>
    </row>
    <row r="369" spans="1:6" x14ac:dyDescent="0.3">
      <c r="A369" s="3">
        <v>46025</v>
      </c>
      <c r="B369" s="2">
        <v>2026</v>
      </c>
      <c r="C369" s="2" t="s">
        <v>2038</v>
      </c>
      <c r="D369" s="2">
        <v>1</v>
      </c>
      <c r="E369" s="2" t="s">
        <v>2039</v>
      </c>
      <c r="F369" s="2" t="s">
        <v>2066</v>
      </c>
    </row>
    <row r="370" spans="1:6" x14ac:dyDescent="0.3">
      <c r="A370" s="3">
        <v>46026</v>
      </c>
      <c r="B370" s="2">
        <v>2026</v>
      </c>
      <c r="C370" s="2" t="s">
        <v>2038</v>
      </c>
      <c r="D370" s="2">
        <v>1</v>
      </c>
      <c r="E370" s="2" t="s">
        <v>2039</v>
      </c>
      <c r="F370" s="2" t="s">
        <v>2066</v>
      </c>
    </row>
    <row r="371" spans="1:6" x14ac:dyDescent="0.3">
      <c r="A371" s="3">
        <v>46027</v>
      </c>
      <c r="B371" s="2">
        <v>2026</v>
      </c>
      <c r="C371" s="2" t="s">
        <v>2038</v>
      </c>
      <c r="D371" s="2">
        <v>1</v>
      </c>
      <c r="E371" s="2" t="s">
        <v>2039</v>
      </c>
      <c r="F371" s="2" t="s">
        <v>2066</v>
      </c>
    </row>
    <row r="372" spans="1:6" x14ac:dyDescent="0.3">
      <c r="A372" s="3">
        <v>46028</v>
      </c>
      <c r="B372" s="2">
        <v>2026</v>
      </c>
      <c r="C372" s="2" t="s">
        <v>2038</v>
      </c>
      <c r="D372" s="2">
        <v>1</v>
      </c>
      <c r="E372" s="2" t="s">
        <v>2039</v>
      </c>
      <c r="F372" s="2" t="s">
        <v>2066</v>
      </c>
    </row>
    <row r="373" spans="1:6" x14ac:dyDescent="0.3">
      <c r="A373" s="3">
        <v>46029</v>
      </c>
      <c r="B373" s="2">
        <v>2026</v>
      </c>
      <c r="C373" s="2" t="s">
        <v>2038</v>
      </c>
      <c r="D373" s="2">
        <v>1</v>
      </c>
      <c r="E373" s="2" t="s">
        <v>2039</v>
      </c>
      <c r="F373" s="2" t="s">
        <v>2066</v>
      </c>
    </row>
    <row r="374" spans="1:6" x14ac:dyDescent="0.3">
      <c r="A374" s="3">
        <v>46030</v>
      </c>
      <c r="B374" s="2">
        <v>2026</v>
      </c>
      <c r="C374" s="2" t="s">
        <v>2038</v>
      </c>
      <c r="D374" s="2">
        <v>1</v>
      </c>
      <c r="E374" s="2" t="s">
        <v>2039</v>
      </c>
      <c r="F374" s="2" t="s">
        <v>2066</v>
      </c>
    </row>
    <row r="375" spans="1:6" x14ac:dyDescent="0.3">
      <c r="A375" s="3">
        <v>46031</v>
      </c>
      <c r="B375" s="2">
        <v>2026</v>
      </c>
      <c r="C375" s="2" t="s">
        <v>2038</v>
      </c>
      <c r="D375" s="2">
        <v>1</v>
      </c>
      <c r="E375" s="2" t="s">
        <v>2039</v>
      </c>
      <c r="F375" s="2" t="s">
        <v>2066</v>
      </c>
    </row>
    <row r="376" spans="1:6" x14ac:dyDescent="0.3">
      <c r="A376" s="3">
        <v>46032</v>
      </c>
      <c r="B376" s="2">
        <v>2026</v>
      </c>
      <c r="C376" s="2" t="s">
        <v>2038</v>
      </c>
      <c r="D376" s="2">
        <v>1</v>
      </c>
      <c r="E376" s="2" t="s">
        <v>2039</v>
      </c>
      <c r="F376" s="2" t="s">
        <v>2066</v>
      </c>
    </row>
    <row r="377" spans="1:6" x14ac:dyDescent="0.3">
      <c r="A377" s="3">
        <v>46033</v>
      </c>
      <c r="B377" s="2">
        <v>2026</v>
      </c>
      <c r="C377" s="2" t="s">
        <v>2038</v>
      </c>
      <c r="D377" s="2">
        <v>1</v>
      </c>
      <c r="E377" s="2" t="s">
        <v>2039</v>
      </c>
      <c r="F377" s="2" t="s">
        <v>2066</v>
      </c>
    </row>
    <row r="378" spans="1:6" x14ac:dyDescent="0.3">
      <c r="A378" s="3">
        <v>46034</v>
      </c>
      <c r="B378" s="2">
        <v>2026</v>
      </c>
      <c r="C378" s="2" t="s">
        <v>2038</v>
      </c>
      <c r="D378" s="2">
        <v>1</v>
      </c>
      <c r="E378" s="2" t="s">
        <v>2039</v>
      </c>
      <c r="F378" s="2" t="s">
        <v>2066</v>
      </c>
    </row>
    <row r="379" spans="1:6" x14ac:dyDescent="0.3">
      <c r="A379" s="3">
        <v>46035</v>
      </c>
      <c r="B379" s="2">
        <v>2026</v>
      </c>
      <c r="C379" s="2" t="s">
        <v>2038</v>
      </c>
      <c r="D379" s="2">
        <v>1</v>
      </c>
      <c r="E379" s="2" t="s">
        <v>2039</v>
      </c>
      <c r="F379" s="2" t="s">
        <v>2066</v>
      </c>
    </row>
    <row r="380" spans="1:6" x14ac:dyDescent="0.3">
      <c r="A380" s="3">
        <v>46036</v>
      </c>
      <c r="B380" s="2">
        <v>2026</v>
      </c>
      <c r="C380" s="2" t="s">
        <v>2038</v>
      </c>
      <c r="D380" s="2">
        <v>1</v>
      </c>
      <c r="E380" s="2" t="s">
        <v>2039</v>
      </c>
      <c r="F380" s="2" t="s">
        <v>2066</v>
      </c>
    </row>
    <row r="381" spans="1:6" x14ac:dyDescent="0.3">
      <c r="A381" s="3">
        <v>46037</v>
      </c>
      <c r="B381" s="2">
        <v>2026</v>
      </c>
      <c r="C381" s="2" t="s">
        <v>2038</v>
      </c>
      <c r="D381" s="2">
        <v>1</v>
      </c>
      <c r="E381" s="2" t="s">
        <v>2039</v>
      </c>
      <c r="F381" s="2" t="s">
        <v>2066</v>
      </c>
    </row>
    <row r="382" spans="1:6" x14ac:dyDescent="0.3">
      <c r="A382" s="3">
        <v>46038</v>
      </c>
      <c r="B382" s="2">
        <v>2026</v>
      </c>
      <c r="C382" s="2" t="s">
        <v>2038</v>
      </c>
      <c r="D382" s="2">
        <v>1</v>
      </c>
      <c r="E382" s="2" t="s">
        <v>2039</v>
      </c>
      <c r="F382" s="2" t="s">
        <v>2066</v>
      </c>
    </row>
    <row r="383" spans="1:6" x14ac:dyDescent="0.3">
      <c r="A383" s="3">
        <v>46039</v>
      </c>
      <c r="B383" s="2">
        <v>2026</v>
      </c>
      <c r="C383" s="2" t="s">
        <v>2038</v>
      </c>
      <c r="D383" s="2">
        <v>1</v>
      </c>
      <c r="E383" s="2" t="s">
        <v>2039</v>
      </c>
      <c r="F383" s="2" t="s">
        <v>2066</v>
      </c>
    </row>
    <row r="384" spans="1:6" x14ac:dyDescent="0.3">
      <c r="A384" s="3">
        <v>46040</v>
      </c>
      <c r="B384" s="2">
        <v>2026</v>
      </c>
      <c r="C384" s="2" t="s">
        <v>2038</v>
      </c>
      <c r="D384" s="2">
        <v>1</v>
      </c>
      <c r="E384" s="2" t="s">
        <v>2039</v>
      </c>
      <c r="F384" s="2" t="s">
        <v>2066</v>
      </c>
    </row>
    <row r="385" spans="1:6" x14ac:dyDescent="0.3">
      <c r="A385" s="3">
        <v>46041</v>
      </c>
      <c r="B385" s="2">
        <v>2026</v>
      </c>
      <c r="C385" s="2" t="s">
        <v>2038</v>
      </c>
      <c r="D385" s="2">
        <v>1</v>
      </c>
      <c r="E385" s="2" t="s">
        <v>2039</v>
      </c>
      <c r="F385" s="2" t="s">
        <v>2066</v>
      </c>
    </row>
    <row r="386" spans="1:6" x14ac:dyDescent="0.3">
      <c r="A386" s="3">
        <v>46042</v>
      </c>
      <c r="B386" s="2">
        <v>2026</v>
      </c>
      <c r="C386" s="2" t="s">
        <v>2038</v>
      </c>
      <c r="D386" s="2">
        <v>1</v>
      </c>
      <c r="E386" s="2" t="s">
        <v>2039</v>
      </c>
      <c r="F386" s="2" t="s">
        <v>2066</v>
      </c>
    </row>
    <row r="387" spans="1:6" x14ac:dyDescent="0.3">
      <c r="A387" s="3">
        <v>46043</v>
      </c>
      <c r="B387" s="2">
        <v>2026</v>
      </c>
      <c r="C387" s="2" t="s">
        <v>2038</v>
      </c>
      <c r="D387" s="2">
        <v>1</v>
      </c>
      <c r="E387" s="2" t="s">
        <v>2039</v>
      </c>
      <c r="F387" s="2" t="s">
        <v>2066</v>
      </c>
    </row>
    <row r="388" spans="1:6" x14ac:dyDescent="0.3">
      <c r="A388" s="3">
        <v>46044</v>
      </c>
      <c r="B388" s="2">
        <v>2026</v>
      </c>
      <c r="C388" s="2" t="s">
        <v>2038</v>
      </c>
      <c r="D388" s="2">
        <v>1</v>
      </c>
      <c r="E388" s="2" t="s">
        <v>2039</v>
      </c>
      <c r="F388" s="2" t="s">
        <v>2066</v>
      </c>
    </row>
    <row r="389" spans="1:6" x14ac:dyDescent="0.3">
      <c r="A389" s="3">
        <v>46045</v>
      </c>
      <c r="B389" s="2">
        <v>2026</v>
      </c>
      <c r="C389" s="2" t="s">
        <v>2038</v>
      </c>
      <c r="D389" s="2">
        <v>1</v>
      </c>
      <c r="E389" s="2" t="s">
        <v>2039</v>
      </c>
      <c r="F389" s="2" t="s">
        <v>2066</v>
      </c>
    </row>
    <row r="390" spans="1:6" x14ac:dyDescent="0.3">
      <c r="A390" s="3">
        <v>46046</v>
      </c>
      <c r="B390" s="2">
        <v>2026</v>
      </c>
      <c r="C390" s="2" t="s">
        <v>2038</v>
      </c>
      <c r="D390" s="2">
        <v>1</v>
      </c>
      <c r="E390" s="2" t="s">
        <v>2039</v>
      </c>
      <c r="F390" s="2" t="s">
        <v>2066</v>
      </c>
    </row>
    <row r="391" spans="1:6" x14ac:dyDescent="0.3">
      <c r="A391" s="3">
        <v>46047</v>
      </c>
      <c r="B391" s="2">
        <v>2026</v>
      </c>
      <c r="C391" s="2" t="s">
        <v>2038</v>
      </c>
      <c r="D391" s="2">
        <v>1</v>
      </c>
      <c r="E391" s="2" t="s">
        <v>2039</v>
      </c>
      <c r="F391" s="2" t="s">
        <v>2066</v>
      </c>
    </row>
    <row r="392" spans="1:6" x14ac:dyDescent="0.3">
      <c r="A392" s="3">
        <v>46048</v>
      </c>
      <c r="B392" s="2">
        <v>2026</v>
      </c>
      <c r="C392" s="2" t="s">
        <v>2038</v>
      </c>
      <c r="D392" s="2">
        <v>1</v>
      </c>
      <c r="E392" s="2" t="s">
        <v>2039</v>
      </c>
      <c r="F392" s="2" t="s">
        <v>2066</v>
      </c>
    </row>
    <row r="393" spans="1:6" x14ac:dyDescent="0.3">
      <c r="A393" s="3">
        <v>46049</v>
      </c>
      <c r="B393" s="2">
        <v>2026</v>
      </c>
      <c r="C393" s="2" t="s">
        <v>2038</v>
      </c>
      <c r="D393" s="2">
        <v>1</v>
      </c>
      <c r="E393" s="2" t="s">
        <v>2039</v>
      </c>
      <c r="F393" s="2" t="s">
        <v>2066</v>
      </c>
    </row>
    <row r="394" spans="1:6" x14ac:dyDescent="0.3">
      <c r="A394" s="3">
        <v>46050</v>
      </c>
      <c r="B394" s="2">
        <v>2026</v>
      </c>
      <c r="C394" s="2" t="s">
        <v>2038</v>
      </c>
      <c r="D394" s="2">
        <v>1</v>
      </c>
      <c r="E394" s="2" t="s">
        <v>2039</v>
      </c>
      <c r="F394" s="2" t="s">
        <v>2066</v>
      </c>
    </row>
    <row r="395" spans="1:6" x14ac:dyDescent="0.3">
      <c r="A395" s="3">
        <v>46051</v>
      </c>
      <c r="B395" s="2">
        <v>2026</v>
      </c>
      <c r="C395" s="2" t="s">
        <v>2038</v>
      </c>
      <c r="D395" s="2">
        <v>1</v>
      </c>
      <c r="E395" s="2" t="s">
        <v>2039</v>
      </c>
      <c r="F395" s="2" t="s">
        <v>2066</v>
      </c>
    </row>
    <row r="396" spans="1:6" x14ac:dyDescent="0.3">
      <c r="A396" s="3">
        <v>46052</v>
      </c>
      <c r="B396" s="2">
        <v>2026</v>
      </c>
      <c r="C396" s="2" t="s">
        <v>2038</v>
      </c>
      <c r="D396" s="2">
        <v>1</v>
      </c>
      <c r="E396" s="2" t="s">
        <v>2039</v>
      </c>
      <c r="F396" s="2" t="s">
        <v>2066</v>
      </c>
    </row>
    <row r="397" spans="1:6" x14ac:dyDescent="0.3">
      <c r="A397" s="3">
        <v>46053</v>
      </c>
      <c r="B397" s="2">
        <v>2026</v>
      </c>
      <c r="C397" s="2" t="s">
        <v>2038</v>
      </c>
      <c r="D397" s="2">
        <v>1</v>
      </c>
      <c r="E397" s="2" t="s">
        <v>2039</v>
      </c>
      <c r="F397" s="2" t="s">
        <v>2066</v>
      </c>
    </row>
    <row r="398" spans="1:6" x14ac:dyDescent="0.3">
      <c r="A398" s="3">
        <v>46054</v>
      </c>
      <c r="B398" s="2">
        <v>2026</v>
      </c>
      <c r="C398" s="2" t="s">
        <v>2038</v>
      </c>
      <c r="D398" s="2">
        <v>2</v>
      </c>
      <c r="E398" s="2" t="s">
        <v>2040</v>
      </c>
      <c r="F398" s="2" t="s">
        <v>2067</v>
      </c>
    </row>
    <row r="399" spans="1:6" x14ac:dyDescent="0.3">
      <c r="A399" s="3">
        <v>46055</v>
      </c>
      <c r="B399" s="2">
        <v>2026</v>
      </c>
      <c r="C399" s="2" t="s">
        <v>2038</v>
      </c>
      <c r="D399" s="2">
        <v>2</v>
      </c>
      <c r="E399" s="2" t="s">
        <v>2040</v>
      </c>
      <c r="F399" s="2" t="s">
        <v>2067</v>
      </c>
    </row>
    <row r="400" spans="1:6" x14ac:dyDescent="0.3">
      <c r="A400" s="3">
        <v>46056</v>
      </c>
      <c r="B400" s="2">
        <v>2026</v>
      </c>
      <c r="C400" s="2" t="s">
        <v>2038</v>
      </c>
      <c r="D400" s="2">
        <v>2</v>
      </c>
      <c r="E400" s="2" t="s">
        <v>2040</v>
      </c>
      <c r="F400" s="2" t="s">
        <v>2067</v>
      </c>
    </row>
    <row r="401" spans="1:6" x14ac:dyDescent="0.3">
      <c r="A401" s="3">
        <v>46057</v>
      </c>
      <c r="B401" s="2">
        <v>2026</v>
      </c>
      <c r="C401" s="2" t="s">
        <v>2038</v>
      </c>
      <c r="D401" s="2">
        <v>2</v>
      </c>
      <c r="E401" s="2" t="s">
        <v>2040</v>
      </c>
      <c r="F401" s="2" t="s">
        <v>2067</v>
      </c>
    </row>
    <row r="402" spans="1:6" x14ac:dyDescent="0.3">
      <c r="A402" s="3">
        <v>46058</v>
      </c>
      <c r="B402" s="2">
        <v>2026</v>
      </c>
      <c r="C402" s="2" t="s">
        <v>2038</v>
      </c>
      <c r="D402" s="2">
        <v>2</v>
      </c>
      <c r="E402" s="2" t="s">
        <v>2040</v>
      </c>
      <c r="F402" s="2" t="s">
        <v>2067</v>
      </c>
    </row>
    <row r="403" spans="1:6" x14ac:dyDescent="0.3">
      <c r="A403" s="3">
        <v>46059</v>
      </c>
      <c r="B403" s="2">
        <v>2026</v>
      </c>
      <c r="C403" s="2" t="s">
        <v>2038</v>
      </c>
      <c r="D403" s="2">
        <v>2</v>
      </c>
      <c r="E403" s="2" t="s">
        <v>2040</v>
      </c>
      <c r="F403" s="2" t="s">
        <v>2067</v>
      </c>
    </row>
    <row r="404" spans="1:6" x14ac:dyDescent="0.3">
      <c r="A404" s="3">
        <v>46060</v>
      </c>
      <c r="B404" s="2">
        <v>2026</v>
      </c>
      <c r="C404" s="2" t="s">
        <v>2038</v>
      </c>
      <c r="D404" s="2">
        <v>2</v>
      </c>
      <c r="E404" s="2" t="s">
        <v>2040</v>
      </c>
      <c r="F404" s="2" t="s">
        <v>2067</v>
      </c>
    </row>
    <row r="405" spans="1:6" x14ac:dyDescent="0.3">
      <c r="A405" s="3">
        <v>46061</v>
      </c>
      <c r="B405" s="2">
        <v>2026</v>
      </c>
      <c r="C405" s="2" t="s">
        <v>2038</v>
      </c>
      <c r="D405" s="2">
        <v>2</v>
      </c>
      <c r="E405" s="2" t="s">
        <v>2040</v>
      </c>
      <c r="F405" s="2" t="s">
        <v>2067</v>
      </c>
    </row>
    <row r="406" spans="1:6" x14ac:dyDescent="0.3">
      <c r="A406" s="3">
        <v>46062</v>
      </c>
      <c r="B406" s="2">
        <v>2026</v>
      </c>
      <c r="C406" s="2" t="s">
        <v>2038</v>
      </c>
      <c r="D406" s="2">
        <v>2</v>
      </c>
      <c r="E406" s="2" t="s">
        <v>2040</v>
      </c>
      <c r="F406" s="2" t="s">
        <v>2067</v>
      </c>
    </row>
    <row r="407" spans="1:6" x14ac:dyDescent="0.3">
      <c r="A407" s="3">
        <v>46063</v>
      </c>
      <c r="B407" s="2">
        <v>2026</v>
      </c>
      <c r="C407" s="2" t="s">
        <v>2038</v>
      </c>
      <c r="D407" s="2">
        <v>2</v>
      </c>
      <c r="E407" s="2" t="s">
        <v>2040</v>
      </c>
      <c r="F407" s="2" t="s">
        <v>2067</v>
      </c>
    </row>
    <row r="408" spans="1:6" x14ac:dyDescent="0.3">
      <c r="A408" s="3">
        <v>46064</v>
      </c>
      <c r="B408" s="2">
        <v>2026</v>
      </c>
      <c r="C408" s="2" t="s">
        <v>2038</v>
      </c>
      <c r="D408" s="2">
        <v>2</v>
      </c>
      <c r="E408" s="2" t="s">
        <v>2040</v>
      </c>
      <c r="F408" s="2" t="s">
        <v>2067</v>
      </c>
    </row>
    <row r="409" spans="1:6" x14ac:dyDescent="0.3">
      <c r="A409" s="3">
        <v>46065</v>
      </c>
      <c r="B409" s="2">
        <v>2026</v>
      </c>
      <c r="C409" s="2" t="s">
        <v>2038</v>
      </c>
      <c r="D409" s="2">
        <v>2</v>
      </c>
      <c r="E409" s="2" t="s">
        <v>2040</v>
      </c>
      <c r="F409" s="2" t="s">
        <v>2067</v>
      </c>
    </row>
    <row r="410" spans="1:6" x14ac:dyDescent="0.3">
      <c r="A410" s="3">
        <v>46066</v>
      </c>
      <c r="B410" s="2">
        <v>2026</v>
      </c>
      <c r="C410" s="2" t="s">
        <v>2038</v>
      </c>
      <c r="D410" s="2">
        <v>2</v>
      </c>
      <c r="E410" s="2" t="s">
        <v>2040</v>
      </c>
      <c r="F410" s="2" t="s">
        <v>2067</v>
      </c>
    </row>
    <row r="411" spans="1:6" x14ac:dyDescent="0.3">
      <c r="A411" s="3">
        <v>46067</v>
      </c>
      <c r="B411" s="2">
        <v>2026</v>
      </c>
      <c r="C411" s="2" t="s">
        <v>2038</v>
      </c>
      <c r="D411" s="2">
        <v>2</v>
      </c>
      <c r="E411" s="2" t="s">
        <v>2040</v>
      </c>
      <c r="F411" s="2" t="s">
        <v>2067</v>
      </c>
    </row>
    <row r="412" spans="1:6" x14ac:dyDescent="0.3">
      <c r="A412" s="3">
        <v>46068</v>
      </c>
      <c r="B412" s="2">
        <v>2026</v>
      </c>
      <c r="C412" s="2" t="s">
        <v>2038</v>
      </c>
      <c r="D412" s="2">
        <v>2</v>
      </c>
      <c r="E412" s="2" t="s">
        <v>2040</v>
      </c>
      <c r="F412" s="2" t="s">
        <v>2067</v>
      </c>
    </row>
    <row r="413" spans="1:6" x14ac:dyDescent="0.3">
      <c r="A413" s="3">
        <v>46069</v>
      </c>
      <c r="B413" s="2">
        <v>2026</v>
      </c>
      <c r="C413" s="2" t="s">
        <v>2038</v>
      </c>
      <c r="D413" s="2">
        <v>2</v>
      </c>
      <c r="E413" s="2" t="s">
        <v>2040</v>
      </c>
      <c r="F413" s="2" t="s">
        <v>2067</v>
      </c>
    </row>
    <row r="414" spans="1:6" x14ac:dyDescent="0.3">
      <c r="A414" s="3">
        <v>46070</v>
      </c>
      <c r="B414" s="2">
        <v>2026</v>
      </c>
      <c r="C414" s="2" t="s">
        <v>2038</v>
      </c>
      <c r="D414" s="2">
        <v>2</v>
      </c>
      <c r="E414" s="2" t="s">
        <v>2040</v>
      </c>
      <c r="F414" s="2" t="s">
        <v>2067</v>
      </c>
    </row>
    <row r="415" spans="1:6" x14ac:dyDescent="0.3">
      <c r="A415" s="3">
        <v>46071</v>
      </c>
      <c r="B415" s="2">
        <v>2026</v>
      </c>
      <c r="C415" s="2" t="s">
        <v>2038</v>
      </c>
      <c r="D415" s="2">
        <v>2</v>
      </c>
      <c r="E415" s="2" t="s">
        <v>2040</v>
      </c>
      <c r="F415" s="2" t="s">
        <v>2067</v>
      </c>
    </row>
    <row r="416" spans="1:6" x14ac:dyDescent="0.3">
      <c r="A416" s="3">
        <v>46072</v>
      </c>
      <c r="B416" s="2">
        <v>2026</v>
      </c>
      <c r="C416" s="2" t="s">
        <v>2038</v>
      </c>
      <c r="D416" s="2">
        <v>2</v>
      </c>
      <c r="E416" s="2" t="s">
        <v>2040</v>
      </c>
      <c r="F416" s="2" t="s">
        <v>2067</v>
      </c>
    </row>
    <row r="417" spans="1:6" x14ac:dyDescent="0.3">
      <c r="A417" s="3">
        <v>46073</v>
      </c>
      <c r="B417" s="2">
        <v>2026</v>
      </c>
      <c r="C417" s="2" t="s">
        <v>2038</v>
      </c>
      <c r="D417" s="2">
        <v>2</v>
      </c>
      <c r="E417" s="2" t="s">
        <v>2040</v>
      </c>
      <c r="F417" s="2" t="s">
        <v>2067</v>
      </c>
    </row>
    <row r="418" spans="1:6" x14ac:dyDescent="0.3">
      <c r="A418" s="3">
        <v>46074</v>
      </c>
      <c r="B418" s="2">
        <v>2026</v>
      </c>
      <c r="C418" s="2" t="s">
        <v>2038</v>
      </c>
      <c r="D418" s="2">
        <v>2</v>
      </c>
      <c r="E418" s="2" t="s">
        <v>2040</v>
      </c>
      <c r="F418" s="2" t="s">
        <v>2067</v>
      </c>
    </row>
    <row r="419" spans="1:6" x14ac:dyDescent="0.3">
      <c r="A419" s="3">
        <v>46075</v>
      </c>
      <c r="B419" s="2">
        <v>2026</v>
      </c>
      <c r="C419" s="2" t="s">
        <v>2038</v>
      </c>
      <c r="D419" s="2">
        <v>2</v>
      </c>
      <c r="E419" s="2" t="s">
        <v>2040</v>
      </c>
      <c r="F419" s="2" t="s">
        <v>2067</v>
      </c>
    </row>
    <row r="420" spans="1:6" x14ac:dyDescent="0.3">
      <c r="A420" s="3">
        <v>46076</v>
      </c>
      <c r="B420" s="2">
        <v>2026</v>
      </c>
      <c r="C420" s="2" t="s">
        <v>2038</v>
      </c>
      <c r="D420" s="2">
        <v>2</v>
      </c>
      <c r="E420" s="2" t="s">
        <v>2040</v>
      </c>
      <c r="F420" s="2" t="s">
        <v>2067</v>
      </c>
    </row>
    <row r="421" spans="1:6" x14ac:dyDescent="0.3">
      <c r="A421" s="3">
        <v>46077</v>
      </c>
      <c r="B421" s="2">
        <v>2026</v>
      </c>
      <c r="C421" s="2" t="s">
        <v>2038</v>
      </c>
      <c r="D421" s="2">
        <v>2</v>
      </c>
      <c r="E421" s="2" t="s">
        <v>2040</v>
      </c>
      <c r="F421" s="2" t="s">
        <v>2067</v>
      </c>
    </row>
    <row r="422" spans="1:6" x14ac:dyDescent="0.3">
      <c r="A422" s="3">
        <v>46078</v>
      </c>
      <c r="B422" s="2">
        <v>2026</v>
      </c>
      <c r="C422" s="2" t="s">
        <v>2038</v>
      </c>
      <c r="D422" s="2">
        <v>2</v>
      </c>
      <c r="E422" s="2" t="s">
        <v>2040</v>
      </c>
      <c r="F422" s="2" t="s">
        <v>2067</v>
      </c>
    </row>
    <row r="423" spans="1:6" x14ac:dyDescent="0.3">
      <c r="A423" s="3">
        <v>46079</v>
      </c>
      <c r="B423" s="2">
        <v>2026</v>
      </c>
      <c r="C423" s="2" t="s">
        <v>2038</v>
      </c>
      <c r="D423" s="2">
        <v>2</v>
      </c>
      <c r="E423" s="2" t="s">
        <v>2040</v>
      </c>
      <c r="F423" s="2" t="s">
        <v>2067</v>
      </c>
    </row>
    <row r="424" spans="1:6" x14ac:dyDescent="0.3">
      <c r="A424" s="3">
        <v>46080</v>
      </c>
      <c r="B424" s="2">
        <v>2026</v>
      </c>
      <c r="C424" s="2" t="s">
        <v>2038</v>
      </c>
      <c r="D424" s="2">
        <v>2</v>
      </c>
      <c r="E424" s="2" t="s">
        <v>2040</v>
      </c>
      <c r="F424" s="2" t="s">
        <v>2067</v>
      </c>
    </row>
    <row r="425" spans="1:6" x14ac:dyDescent="0.3">
      <c r="A425" s="3">
        <v>46081</v>
      </c>
      <c r="B425" s="2">
        <v>2026</v>
      </c>
      <c r="C425" s="2" t="s">
        <v>2038</v>
      </c>
      <c r="D425" s="2">
        <v>2</v>
      </c>
      <c r="E425" s="2" t="s">
        <v>2040</v>
      </c>
      <c r="F425" s="2" t="s">
        <v>2067</v>
      </c>
    </row>
    <row r="426" spans="1:6" x14ac:dyDescent="0.3">
      <c r="A426" s="3">
        <v>46082</v>
      </c>
      <c r="B426" s="2">
        <v>2026</v>
      </c>
      <c r="C426" s="2" t="s">
        <v>2038</v>
      </c>
      <c r="D426" s="2">
        <v>3</v>
      </c>
      <c r="E426" s="2" t="s">
        <v>2041</v>
      </c>
      <c r="F426" s="2" t="s">
        <v>2068</v>
      </c>
    </row>
    <row r="427" spans="1:6" x14ac:dyDescent="0.3">
      <c r="A427" s="3">
        <v>46083</v>
      </c>
      <c r="B427" s="2">
        <v>2026</v>
      </c>
      <c r="C427" s="2" t="s">
        <v>2038</v>
      </c>
      <c r="D427" s="2">
        <v>3</v>
      </c>
      <c r="E427" s="2" t="s">
        <v>2041</v>
      </c>
      <c r="F427" s="2" t="s">
        <v>2068</v>
      </c>
    </row>
    <row r="428" spans="1:6" x14ac:dyDescent="0.3">
      <c r="A428" s="3">
        <v>46084</v>
      </c>
      <c r="B428" s="2">
        <v>2026</v>
      </c>
      <c r="C428" s="2" t="s">
        <v>2038</v>
      </c>
      <c r="D428" s="2">
        <v>3</v>
      </c>
      <c r="E428" s="2" t="s">
        <v>2041</v>
      </c>
      <c r="F428" s="2" t="s">
        <v>2068</v>
      </c>
    </row>
    <row r="429" spans="1:6" x14ac:dyDescent="0.3">
      <c r="A429" s="3">
        <v>46085</v>
      </c>
      <c r="B429" s="2">
        <v>2026</v>
      </c>
      <c r="C429" s="2" t="s">
        <v>2038</v>
      </c>
      <c r="D429" s="2">
        <v>3</v>
      </c>
      <c r="E429" s="2" t="s">
        <v>2041</v>
      </c>
      <c r="F429" s="2" t="s">
        <v>2068</v>
      </c>
    </row>
    <row r="430" spans="1:6" x14ac:dyDescent="0.3">
      <c r="A430" s="3">
        <v>46086</v>
      </c>
      <c r="B430" s="2">
        <v>2026</v>
      </c>
      <c r="C430" s="2" t="s">
        <v>2038</v>
      </c>
      <c r="D430" s="2">
        <v>3</v>
      </c>
      <c r="E430" s="2" t="s">
        <v>2041</v>
      </c>
      <c r="F430" s="2" t="s">
        <v>2068</v>
      </c>
    </row>
    <row r="431" spans="1:6" x14ac:dyDescent="0.3">
      <c r="A431" s="3">
        <v>46087</v>
      </c>
      <c r="B431" s="2">
        <v>2026</v>
      </c>
      <c r="C431" s="2" t="s">
        <v>2038</v>
      </c>
      <c r="D431" s="2">
        <v>3</v>
      </c>
      <c r="E431" s="2" t="s">
        <v>2041</v>
      </c>
      <c r="F431" s="2" t="s">
        <v>2068</v>
      </c>
    </row>
    <row r="432" spans="1:6" x14ac:dyDescent="0.3">
      <c r="A432" s="3">
        <v>46088</v>
      </c>
      <c r="B432" s="2">
        <v>2026</v>
      </c>
      <c r="C432" s="2" t="s">
        <v>2038</v>
      </c>
      <c r="D432" s="2">
        <v>3</v>
      </c>
      <c r="E432" s="2" t="s">
        <v>2041</v>
      </c>
      <c r="F432" s="2" t="s">
        <v>2068</v>
      </c>
    </row>
    <row r="433" spans="1:6" x14ac:dyDescent="0.3">
      <c r="A433" s="3">
        <v>46089</v>
      </c>
      <c r="B433" s="2">
        <v>2026</v>
      </c>
      <c r="C433" s="2" t="s">
        <v>2038</v>
      </c>
      <c r="D433" s="2">
        <v>3</v>
      </c>
      <c r="E433" s="2" t="s">
        <v>2041</v>
      </c>
      <c r="F433" s="2" t="s">
        <v>2068</v>
      </c>
    </row>
    <row r="434" spans="1:6" x14ac:dyDescent="0.3">
      <c r="A434" s="3">
        <v>46090</v>
      </c>
      <c r="B434" s="2">
        <v>2026</v>
      </c>
      <c r="C434" s="2" t="s">
        <v>2038</v>
      </c>
      <c r="D434" s="2">
        <v>3</v>
      </c>
      <c r="E434" s="2" t="s">
        <v>2041</v>
      </c>
      <c r="F434" s="2" t="s">
        <v>2068</v>
      </c>
    </row>
    <row r="435" spans="1:6" x14ac:dyDescent="0.3">
      <c r="A435" s="3">
        <v>46091</v>
      </c>
      <c r="B435" s="2">
        <v>2026</v>
      </c>
      <c r="C435" s="2" t="s">
        <v>2038</v>
      </c>
      <c r="D435" s="2">
        <v>3</v>
      </c>
      <c r="E435" s="2" t="s">
        <v>2041</v>
      </c>
      <c r="F435" s="2" t="s">
        <v>2068</v>
      </c>
    </row>
    <row r="436" spans="1:6" x14ac:dyDescent="0.3">
      <c r="A436" s="3">
        <v>46092</v>
      </c>
      <c r="B436" s="2">
        <v>2026</v>
      </c>
      <c r="C436" s="2" t="s">
        <v>2038</v>
      </c>
      <c r="D436" s="2">
        <v>3</v>
      </c>
      <c r="E436" s="2" t="s">
        <v>2041</v>
      </c>
      <c r="F436" s="2" t="s">
        <v>2068</v>
      </c>
    </row>
    <row r="437" spans="1:6" x14ac:dyDescent="0.3">
      <c r="A437" s="3">
        <v>46093</v>
      </c>
      <c r="B437" s="2">
        <v>2026</v>
      </c>
      <c r="C437" s="2" t="s">
        <v>2038</v>
      </c>
      <c r="D437" s="2">
        <v>3</v>
      </c>
      <c r="E437" s="2" t="s">
        <v>2041</v>
      </c>
      <c r="F437" s="2" t="s">
        <v>2068</v>
      </c>
    </row>
    <row r="438" spans="1:6" x14ac:dyDescent="0.3">
      <c r="A438" s="3">
        <v>46094</v>
      </c>
      <c r="B438" s="2">
        <v>2026</v>
      </c>
      <c r="C438" s="2" t="s">
        <v>2038</v>
      </c>
      <c r="D438" s="2">
        <v>3</v>
      </c>
      <c r="E438" s="2" t="s">
        <v>2041</v>
      </c>
      <c r="F438" s="2" t="s">
        <v>2068</v>
      </c>
    </row>
    <row r="439" spans="1:6" x14ac:dyDescent="0.3">
      <c r="A439" s="3">
        <v>46095</v>
      </c>
      <c r="B439" s="2">
        <v>2026</v>
      </c>
      <c r="C439" s="2" t="s">
        <v>2038</v>
      </c>
      <c r="D439" s="2">
        <v>3</v>
      </c>
      <c r="E439" s="2" t="s">
        <v>2041</v>
      </c>
      <c r="F439" s="2" t="s">
        <v>2068</v>
      </c>
    </row>
    <row r="440" spans="1:6" x14ac:dyDescent="0.3">
      <c r="A440" s="3">
        <v>46096</v>
      </c>
      <c r="B440" s="2">
        <v>2026</v>
      </c>
      <c r="C440" s="2" t="s">
        <v>2038</v>
      </c>
      <c r="D440" s="2">
        <v>3</v>
      </c>
      <c r="E440" s="2" t="s">
        <v>2041</v>
      </c>
      <c r="F440" s="2" t="s">
        <v>2068</v>
      </c>
    </row>
    <row r="441" spans="1:6" x14ac:dyDescent="0.3">
      <c r="A441" s="3">
        <v>46097</v>
      </c>
      <c r="B441" s="2">
        <v>2026</v>
      </c>
      <c r="C441" s="2" t="s">
        <v>2038</v>
      </c>
      <c r="D441" s="2">
        <v>3</v>
      </c>
      <c r="E441" s="2" t="s">
        <v>2041</v>
      </c>
      <c r="F441" s="2" t="s">
        <v>2068</v>
      </c>
    </row>
    <row r="442" spans="1:6" x14ac:dyDescent="0.3">
      <c r="A442" s="3">
        <v>46098</v>
      </c>
      <c r="B442" s="2">
        <v>2026</v>
      </c>
      <c r="C442" s="2" t="s">
        <v>2038</v>
      </c>
      <c r="D442" s="2">
        <v>3</v>
      </c>
      <c r="E442" s="2" t="s">
        <v>2041</v>
      </c>
      <c r="F442" s="2" t="s">
        <v>2068</v>
      </c>
    </row>
    <row r="443" spans="1:6" x14ac:dyDescent="0.3">
      <c r="A443" s="3">
        <v>46099</v>
      </c>
      <c r="B443" s="2">
        <v>2026</v>
      </c>
      <c r="C443" s="2" t="s">
        <v>2038</v>
      </c>
      <c r="D443" s="2">
        <v>3</v>
      </c>
      <c r="E443" s="2" t="s">
        <v>2041</v>
      </c>
      <c r="F443" s="2" t="s">
        <v>2068</v>
      </c>
    </row>
    <row r="444" spans="1:6" x14ac:dyDescent="0.3">
      <c r="A444" s="3">
        <v>46100</v>
      </c>
      <c r="B444" s="2">
        <v>2026</v>
      </c>
      <c r="C444" s="2" t="s">
        <v>2038</v>
      </c>
      <c r="D444" s="2">
        <v>3</v>
      </c>
      <c r="E444" s="2" t="s">
        <v>2041</v>
      </c>
      <c r="F444" s="2" t="s">
        <v>2068</v>
      </c>
    </row>
    <row r="445" spans="1:6" x14ac:dyDescent="0.3">
      <c r="A445" s="3">
        <v>46101</v>
      </c>
      <c r="B445" s="2">
        <v>2026</v>
      </c>
      <c r="C445" s="2" t="s">
        <v>2038</v>
      </c>
      <c r="D445" s="2">
        <v>3</v>
      </c>
      <c r="E445" s="2" t="s">
        <v>2041</v>
      </c>
      <c r="F445" s="2" t="s">
        <v>2068</v>
      </c>
    </row>
    <row r="446" spans="1:6" x14ac:dyDescent="0.3">
      <c r="A446" s="3">
        <v>46102</v>
      </c>
      <c r="B446" s="2">
        <v>2026</v>
      </c>
      <c r="C446" s="2" t="s">
        <v>2038</v>
      </c>
      <c r="D446" s="2">
        <v>3</v>
      </c>
      <c r="E446" s="2" t="s">
        <v>2041</v>
      </c>
      <c r="F446" s="2" t="s">
        <v>2068</v>
      </c>
    </row>
    <row r="447" spans="1:6" x14ac:dyDescent="0.3">
      <c r="A447" s="3">
        <v>46103</v>
      </c>
      <c r="B447" s="2">
        <v>2026</v>
      </c>
      <c r="C447" s="2" t="s">
        <v>2038</v>
      </c>
      <c r="D447" s="2">
        <v>3</v>
      </c>
      <c r="E447" s="2" t="s">
        <v>2041</v>
      </c>
      <c r="F447" s="2" t="s">
        <v>2068</v>
      </c>
    </row>
    <row r="448" spans="1:6" x14ac:dyDescent="0.3">
      <c r="A448" s="3">
        <v>46104</v>
      </c>
      <c r="B448" s="2">
        <v>2026</v>
      </c>
      <c r="C448" s="2" t="s">
        <v>2038</v>
      </c>
      <c r="D448" s="2">
        <v>3</v>
      </c>
      <c r="E448" s="2" t="s">
        <v>2041</v>
      </c>
      <c r="F448" s="2" t="s">
        <v>2068</v>
      </c>
    </row>
    <row r="449" spans="1:6" x14ac:dyDescent="0.3">
      <c r="A449" s="3">
        <v>46105</v>
      </c>
      <c r="B449" s="2">
        <v>2026</v>
      </c>
      <c r="C449" s="2" t="s">
        <v>2038</v>
      </c>
      <c r="D449" s="2">
        <v>3</v>
      </c>
      <c r="E449" s="2" t="s">
        <v>2041</v>
      </c>
      <c r="F449" s="2" t="s">
        <v>2068</v>
      </c>
    </row>
    <row r="450" spans="1:6" x14ac:dyDescent="0.3">
      <c r="A450" s="3">
        <v>46106</v>
      </c>
      <c r="B450" s="2">
        <v>2026</v>
      </c>
      <c r="C450" s="2" t="s">
        <v>2038</v>
      </c>
      <c r="D450" s="2">
        <v>3</v>
      </c>
      <c r="E450" s="2" t="s">
        <v>2041</v>
      </c>
      <c r="F450" s="2" t="s">
        <v>2068</v>
      </c>
    </row>
    <row r="451" spans="1:6" x14ac:dyDescent="0.3">
      <c r="A451" s="3">
        <v>46107</v>
      </c>
      <c r="B451" s="2">
        <v>2026</v>
      </c>
      <c r="C451" s="2" t="s">
        <v>2038</v>
      </c>
      <c r="D451" s="2">
        <v>3</v>
      </c>
      <c r="E451" s="2" t="s">
        <v>2041</v>
      </c>
      <c r="F451" s="2" t="s">
        <v>2068</v>
      </c>
    </row>
    <row r="452" spans="1:6" x14ac:dyDescent="0.3">
      <c r="A452" s="3">
        <v>46108</v>
      </c>
      <c r="B452" s="2">
        <v>2026</v>
      </c>
      <c r="C452" s="2" t="s">
        <v>2038</v>
      </c>
      <c r="D452" s="2">
        <v>3</v>
      </c>
      <c r="E452" s="2" t="s">
        <v>2041</v>
      </c>
      <c r="F452" s="2" t="s">
        <v>2068</v>
      </c>
    </row>
    <row r="453" spans="1:6" x14ac:dyDescent="0.3">
      <c r="A453" s="3">
        <v>46109</v>
      </c>
      <c r="B453" s="2">
        <v>2026</v>
      </c>
      <c r="C453" s="2" t="s">
        <v>2038</v>
      </c>
      <c r="D453" s="2">
        <v>3</v>
      </c>
      <c r="E453" s="2" t="s">
        <v>2041</v>
      </c>
      <c r="F453" s="2" t="s">
        <v>2068</v>
      </c>
    </row>
    <row r="454" spans="1:6" x14ac:dyDescent="0.3">
      <c r="A454" s="3">
        <v>46110</v>
      </c>
      <c r="B454" s="2">
        <v>2026</v>
      </c>
      <c r="C454" s="2" t="s">
        <v>2038</v>
      </c>
      <c r="D454" s="2">
        <v>3</v>
      </c>
      <c r="E454" s="2" t="s">
        <v>2041</v>
      </c>
      <c r="F454" s="2" t="s">
        <v>2068</v>
      </c>
    </row>
    <row r="455" spans="1:6" x14ac:dyDescent="0.3">
      <c r="A455" s="3">
        <v>46111</v>
      </c>
      <c r="B455" s="2">
        <v>2026</v>
      </c>
      <c r="C455" s="2" t="s">
        <v>2038</v>
      </c>
      <c r="D455" s="2">
        <v>3</v>
      </c>
      <c r="E455" s="2" t="s">
        <v>2041</v>
      </c>
      <c r="F455" s="2" t="s">
        <v>2068</v>
      </c>
    </row>
    <row r="456" spans="1:6" x14ac:dyDescent="0.3">
      <c r="A456" s="3">
        <v>46112</v>
      </c>
      <c r="B456" s="2">
        <v>2026</v>
      </c>
      <c r="C456" s="2" t="s">
        <v>2038</v>
      </c>
      <c r="D456" s="2">
        <v>3</v>
      </c>
      <c r="E456" s="2" t="s">
        <v>2041</v>
      </c>
      <c r="F456" s="2" t="s">
        <v>2068</v>
      </c>
    </row>
    <row r="457" spans="1:6" x14ac:dyDescent="0.3">
      <c r="A457" s="3">
        <v>46113</v>
      </c>
      <c r="B457" s="2">
        <v>2026</v>
      </c>
      <c r="C457" s="2" t="s">
        <v>2042</v>
      </c>
      <c r="D457" s="2">
        <v>4</v>
      </c>
      <c r="E457" s="2" t="s">
        <v>2043</v>
      </c>
      <c r="F457" s="2" t="s">
        <v>2069</v>
      </c>
    </row>
    <row r="458" spans="1:6" x14ac:dyDescent="0.3">
      <c r="A458" s="3">
        <v>46114</v>
      </c>
      <c r="B458" s="2">
        <v>2026</v>
      </c>
      <c r="C458" s="2" t="s">
        <v>2042</v>
      </c>
      <c r="D458" s="2">
        <v>4</v>
      </c>
      <c r="E458" s="2" t="s">
        <v>2043</v>
      </c>
      <c r="F458" s="2" t="s">
        <v>2069</v>
      </c>
    </row>
    <row r="459" spans="1:6" x14ac:dyDescent="0.3">
      <c r="A459" s="3">
        <v>46115</v>
      </c>
      <c r="B459" s="2">
        <v>2026</v>
      </c>
      <c r="C459" s="2" t="s">
        <v>2042</v>
      </c>
      <c r="D459" s="2">
        <v>4</v>
      </c>
      <c r="E459" s="2" t="s">
        <v>2043</v>
      </c>
      <c r="F459" s="2" t="s">
        <v>2069</v>
      </c>
    </row>
    <row r="460" spans="1:6" x14ac:dyDescent="0.3">
      <c r="A460" s="3">
        <v>46116</v>
      </c>
      <c r="B460" s="2">
        <v>2026</v>
      </c>
      <c r="C460" s="2" t="s">
        <v>2042</v>
      </c>
      <c r="D460" s="2">
        <v>4</v>
      </c>
      <c r="E460" s="2" t="s">
        <v>2043</v>
      </c>
      <c r="F460" s="2" t="s">
        <v>2069</v>
      </c>
    </row>
    <row r="461" spans="1:6" x14ac:dyDescent="0.3">
      <c r="A461" s="3">
        <v>46117</v>
      </c>
      <c r="B461" s="2">
        <v>2026</v>
      </c>
      <c r="C461" s="2" t="s">
        <v>2042</v>
      </c>
      <c r="D461" s="2">
        <v>4</v>
      </c>
      <c r="E461" s="2" t="s">
        <v>2043</v>
      </c>
      <c r="F461" s="2" t="s">
        <v>2069</v>
      </c>
    </row>
    <row r="462" spans="1:6" x14ac:dyDescent="0.3">
      <c r="A462" s="3">
        <v>46118</v>
      </c>
      <c r="B462" s="2">
        <v>2026</v>
      </c>
      <c r="C462" s="2" t="s">
        <v>2042</v>
      </c>
      <c r="D462" s="2">
        <v>4</v>
      </c>
      <c r="E462" s="2" t="s">
        <v>2043</v>
      </c>
      <c r="F462" s="2" t="s">
        <v>2069</v>
      </c>
    </row>
    <row r="463" spans="1:6" x14ac:dyDescent="0.3">
      <c r="A463" s="3">
        <v>46119</v>
      </c>
      <c r="B463" s="2">
        <v>2026</v>
      </c>
      <c r="C463" s="2" t="s">
        <v>2042</v>
      </c>
      <c r="D463" s="2">
        <v>4</v>
      </c>
      <c r="E463" s="2" t="s">
        <v>2043</v>
      </c>
      <c r="F463" s="2" t="s">
        <v>2069</v>
      </c>
    </row>
    <row r="464" spans="1:6" x14ac:dyDescent="0.3">
      <c r="A464" s="3">
        <v>46120</v>
      </c>
      <c r="B464" s="2">
        <v>2026</v>
      </c>
      <c r="C464" s="2" t="s">
        <v>2042</v>
      </c>
      <c r="D464" s="2">
        <v>4</v>
      </c>
      <c r="E464" s="2" t="s">
        <v>2043</v>
      </c>
      <c r="F464" s="2" t="s">
        <v>2069</v>
      </c>
    </row>
    <row r="465" spans="1:6" x14ac:dyDescent="0.3">
      <c r="A465" s="3">
        <v>46121</v>
      </c>
      <c r="B465" s="2">
        <v>2026</v>
      </c>
      <c r="C465" s="2" t="s">
        <v>2042</v>
      </c>
      <c r="D465" s="2">
        <v>4</v>
      </c>
      <c r="E465" s="2" t="s">
        <v>2043</v>
      </c>
      <c r="F465" s="2" t="s">
        <v>2069</v>
      </c>
    </row>
    <row r="466" spans="1:6" x14ac:dyDescent="0.3">
      <c r="A466" s="3">
        <v>46122</v>
      </c>
      <c r="B466" s="2">
        <v>2026</v>
      </c>
      <c r="C466" s="2" t="s">
        <v>2042</v>
      </c>
      <c r="D466" s="2">
        <v>4</v>
      </c>
      <c r="E466" s="2" t="s">
        <v>2043</v>
      </c>
      <c r="F466" s="2" t="s">
        <v>2069</v>
      </c>
    </row>
    <row r="467" spans="1:6" x14ac:dyDescent="0.3">
      <c r="A467" s="3">
        <v>46123</v>
      </c>
      <c r="B467" s="2">
        <v>2026</v>
      </c>
      <c r="C467" s="2" t="s">
        <v>2042</v>
      </c>
      <c r="D467" s="2">
        <v>4</v>
      </c>
      <c r="E467" s="2" t="s">
        <v>2043</v>
      </c>
      <c r="F467" s="2" t="s">
        <v>2069</v>
      </c>
    </row>
    <row r="468" spans="1:6" x14ac:dyDescent="0.3">
      <c r="A468" s="3">
        <v>46124</v>
      </c>
      <c r="B468" s="2">
        <v>2026</v>
      </c>
      <c r="C468" s="2" t="s">
        <v>2042</v>
      </c>
      <c r="D468" s="2">
        <v>4</v>
      </c>
      <c r="E468" s="2" t="s">
        <v>2043</v>
      </c>
      <c r="F468" s="2" t="s">
        <v>2069</v>
      </c>
    </row>
    <row r="469" spans="1:6" x14ac:dyDescent="0.3">
      <c r="A469" s="3">
        <v>46125</v>
      </c>
      <c r="B469" s="2">
        <v>2026</v>
      </c>
      <c r="C469" s="2" t="s">
        <v>2042</v>
      </c>
      <c r="D469" s="2">
        <v>4</v>
      </c>
      <c r="E469" s="2" t="s">
        <v>2043</v>
      </c>
      <c r="F469" s="2" t="s">
        <v>2069</v>
      </c>
    </row>
    <row r="470" spans="1:6" x14ac:dyDescent="0.3">
      <c r="A470" s="3">
        <v>46126</v>
      </c>
      <c r="B470" s="2">
        <v>2026</v>
      </c>
      <c r="C470" s="2" t="s">
        <v>2042</v>
      </c>
      <c r="D470" s="2">
        <v>4</v>
      </c>
      <c r="E470" s="2" t="s">
        <v>2043</v>
      </c>
      <c r="F470" s="2" t="s">
        <v>2069</v>
      </c>
    </row>
    <row r="471" spans="1:6" x14ac:dyDescent="0.3">
      <c r="A471" s="3">
        <v>46127</v>
      </c>
      <c r="B471" s="2">
        <v>2026</v>
      </c>
      <c r="C471" s="2" t="s">
        <v>2042</v>
      </c>
      <c r="D471" s="2">
        <v>4</v>
      </c>
      <c r="E471" s="2" t="s">
        <v>2043</v>
      </c>
      <c r="F471" s="2" t="s">
        <v>2069</v>
      </c>
    </row>
    <row r="472" spans="1:6" x14ac:dyDescent="0.3">
      <c r="A472" s="3">
        <v>46128</v>
      </c>
      <c r="B472" s="2">
        <v>2026</v>
      </c>
      <c r="C472" s="2" t="s">
        <v>2042</v>
      </c>
      <c r="D472" s="2">
        <v>4</v>
      </c>
      <c r="E472" s="2" t="s">
        <v>2043</v>
      </c>
      <c r="F472" s="2" t="s">
        <v>2069</v>
      </c>
    </row>
    <row r="473" spans="1:6" x14ac:dyDescent="0.3">
      <c r="A473" s="3">
        <v>46129</v>
      </c>
      <c r="B473" s="2">
        <v>2026</v>
      </c>
      <c r="C473" s="2" t="s">
        <v>2042</v>
      </c>
      <c r="D473" s="2">
        <v>4</v>
      </c>
      <c r="E473" s="2" t="s">
        <v>2043</v>
      </c>
      <c r="F473" s="2" t="s">
        <v>2069</v>
      </c>
    </row>
    <row r="474" spans="1:6" x14ac:dyDescent="0.3">
      <c r="A474" s="3">
        <v>46130</v>
      </c>
      <c r="B474" s="2">
        <v>2026</v>
      </c>
      <c r="C474" s="2" t="s">
        <v>2042</v>
      </c>
      <c r="D474" s="2">
        <v>4</v>
      </c>
      <c r="E474" s="2" t="s">
        <v>2043</v>
      </c>
      <c r="F474" s="2" t="s">
        <v>2069</v>
      </c>
    </row>
    <row r="475" spans="1:6" x14ac:dyDescent="0.3">
      <c r="A475" s="3">
        <v>46131</v>
      </c>
      <c r="B475" s="2">
        <v>2026</v>
      </c>
      <c r="C475" s="2" t="s">
        <v>2042</v>
      </c>
      <c r="D475" s="2">
        <v>4</v>
      </c>
      <c r="E475" s="2" t="s">
        <v>2043</v>
      </c>
      <c r="F475" s="2" t="s">
        <v>2069</v>
      </c>
    </row>
    <row r="476" spans="1:6" x14ac:dyDescent="0.3">
      <c r="A476" s="3">
        <v>46132</v>
      </c>
      <c r="B476" s="2">
        <v>2026</v>
      </c>
      <c r="C476" s="2" t="s">
        <v>2042</v>
      </c>
      <c r="D476" s="2">
        <v>4</v>
      </c>
      <c r="E476" s="2" t="s">
        <v>2043</v>
      </c>
      <c r="F476" s="2" t="s">
        <v>2069</v>
      </c>
    </row>
    <row r="477" spans="1:6" x14ac:dyDescent="0.3">
      <c r="A477" s="3">
        <v>46133</v>
      </c>
      <c r="B477" s="2">
        <v>2026</v>
      </c>
      <c r="C477" s="2" t="s">
        <v>2042</v>
      </c>
      <c r="D477" s="2">
        <v>4</v>
      </c>
      <c r="E477" s="2" t="s">
        <v>2043</v>
      </c>
      <c r="F477" s="2" t="s">
        <v>2069</v>
      </c>
    </row>
    <row r="478" spans="1:6" x14ac:dyDescent="0.3">
      <c r="A478" s="3">
        <v>46134</v>
      </c>
      <c r="B478" s="2">
        <v>2026</v>
      </c>
      <c r="C478" s="2" t="s">
        <v>2042</v>
      </c>
      <c r="D478" s="2">
        <v>4</v>
      </c>
      <c r="E478" s="2" t="s">
        <v>2043</v>
      </c>
      <c r="F478" s="2" t="s">
        <v>2069</v>
      </c>
    </row>
    <row r="479" spans="1:6" x14ac:dyDescent="0.3">
      <c r="A479" s="3">
        <v>46135</v>
      </c>
      <c r="B479" s="2">
        <v>2026</v>
      </c>
      <c r="C479" s="2" t="s">
        <v>2042</v>
      </c>
      <c r="D479" s="2">
        <v>4</v>
      </c>
      <c r="E479" s="2" t="s">
        <v>2043</v>
      </c>
      <c r="F479" s="2" t="s">
        <v>2069</v>
      </c>
    </row>
    <row r="480" spans="1:6" x14ac:dyDescent="0.3">
      <c r="A480" s="3">
        <v>46136</v>
      </c>
      <c r="B480" s="2">
        <v>2026</v>
      </c>
      <c r="C480" s="2" t="s">
        <v>2042</v>
      </c>
      <c r="D480" s="2">
        <v>4</v>
      </c>
      <c r="E480" s="2" t="s">
        <v>2043</v>
      </c>
      <c r="F480" s="2" t="s">
        <v>2069</v>
      </c>
    </row>
    <row r="481" spans="1:6" x14ac:dyDescent="0.3">
      <c r="A481" s="3">
        <v>46137</v>
      </c>
      <c r="B481" s="2">
        <v>2026</v>
      </c>
      <c r="C481" s="2" t="s">
        <v>2042</v>
      </c>
      <c r="D481" s="2">
        <v>4</v>
      </c>
      <c r="E481" s="2" t="s">
        <v>2043</v>
      </c>
      <c r="F481" s="2" t="s">
        <v>2069</v>
      </c>
    </row>
    <row r="482" spans="1:6" x14ac:dyDescent="0.3">
      <c r="A482" s="3">
        <v>46138</v>
      </c>
      <c r="B482" s="2">
        <v>2026</v>
      </c>
      <c r="C482" s="2" t="s">
        <v>2042</v>
      </c>
      <c r="D482" s="2">
        <v>4</v>
      </c>
      <c r="E482" s="2" t="s">
        <v>2043</v>
      </c>
      <c r="F482" s="2" t="s">
        <v>2069</v>
      </c>
    </row>
    <row r="483" spans="1:6" x14ac:dyDescent="0.3">
      <c r="A483" s="3">
        <v>46139</v>
      </c>
      <c r="B483" s="2">
        <v>2026</v>
      </c>
      <c r="C483" s="2" t="s">
        <v>2042</v>
      </c>
      <c r="D483" s="2">
        <v>4</v>
      </c>
      <c r="E483" s="2" t="s">
        <v>2043</v>
      </c>
      <c r="F483" s="2" t="s">
        <v>2069</v>
      </c>
    </row>
    <row r="484" spans="1:6" x14ac:dyDescent="0.3">
      <c r="A484" s="3">
        <v>46140</v>
      </c>
      <c r="B484" s="2">
        <v>2026</v>
      </c>
      <c r="C484" s="2" t="s">
        <v>2042</v>
      </c>
      <c r="D484" s="2">
        <v>4</v>
      </c>
      <c r="E484" s="2" t="s">
        <v>2043</v>
      </c>
      <c r="F484" s="2" t="s">
        <v>2069</v>
      </c>
    </row>
    <row r="485" spans="1:6" x14ac:dyDescent="0.3">
      <c r="A485" s="3">
        <v>46141</v>
      </c>
      <c r="B485" s="2">
        <v>2026</v>
      </c>
      <c r="C485" s="2" t="s">
        <v>2042</v>
      </c>
      <c r="D485" s="2">
        <v>4</v>
      </c>
      <c r="E485" s="2" t="s">
        <v>2043</v>
      </c>
      <c r="F485" s="2" t="s">
        <v>2069</v>
      </c>
    </row>
    <row r="486" spans="1:6" x14ac:dyDescent="0.3">
      <c r="A486" s="3">
        <v>46142</v>
      </c>
      <c r="B486" s="2">
        <v>2026</v>
      </c>
      <c r="C486" s="2" t="s">
        <v>2042</v>
      </c>
      <c r="D486" s="2">
        <v>4</v>
      </c>
      <c r="E486" s="2" t="s">
        <v>2043</v>
      </c>
      <c r="F486" s="2" t="s">
        <v>2069</v>
      </c>
    </row>
    <row r="487" spans="1:6" x14ac:dyDescent="0.3">
      <c r="A487" s="3">
        <v>46143</v>
      </c>
      <c r="B487" s="2">
        <v>2026</v>
      </c>
      <c r="C487" s="2" t="s">
        <v>2042</v>
      </c>
      <c r="D487" s="2">
        <v>5</v>
      </c>
      <c r="E487" s="2" t="s">
        <v>2044</v>
      </c>
      <c r="F487" s="2" t="s">
        <v>2070</v>
      </c>
    </row>
    <row r="488" spans="1:6" x14ac:dyDescent="0.3">
      <c r="A488" s="3">
        <v>46144</v>
      </c>
      <c r="B488" s="2">
        <v>2026</v>
      </c>
      <c r="C488" s="2" t="s">
        <v>2042</v>
      </c>
      <c r="D488" s="2">
        <v>5</v>
      </c>
      <c r="E488" s="2" t="s">
        <v>2044</v>
      </c>
      <c r="F488" s="2" t="s">
        <v>2070</v>
      </c>
    </row>
    <row r="489" spans="1:6" x14ac:dyDescent="0.3">
      <c r="A489" s="3">
        <v>46145</v>
      </c>
      <c r="B489" s="2">
        <v>2026</v>
      </c>
      <c r="C489" s="2" t="s">
        <v>2042</v>
      </c>
      <c r="D489" s="2">
        <v>5</v>
      </c>
      <c r="E489" s="2" t="s">
        <v>2044</v>
      </c>
      <c r="F489" s="2" t="s">
        <v>2070</v>
      </c>
    </row>
    <row r="490" spans="1:6" x14ac:dyDescent="0.3">
      <c r="A490" s="3">
        <v>46146</v>
      </c>
      <c r="B490" s="2">
        <v>2026</v>
      </c>
      <c r="C490" s="2" t="s">
        <v>2042</v>
      </c>
      <c r="D490" s="2">
        <v>5</v>
      </c>
      <c r="E490" s="2" t="s">
        <v>2044</v>
      </c>
      <c r="F490" s="2" t="s">
        <v>2070</v>
      </c>
    </row>
    <row r="491" spans="1:6" x14ac:dyDescent="0.3">
      <c r="A491" s="3">
        <v>46147</v>
      </c>
      <c r="B491" s="2">
        <v>2026</v>
      </c>
      <c r="C491" s="2" t="s">
        <v>2042</v>
      </c>
      <c r="D491" s="2">
        <v>5</v>
      </c>
      <c r="E491" s="2" t="s">
        <v>2044</v>
      </c>
      <c r="F491" s="2" t="s">
        <v>2070</v>
      </c>
    </row>
    <row r="492" spans="1:6" x14ac:dyDescent="0.3">
      <c r="A492" s="3">
        <v>46148</v>
      </c>
      <c r="B492" s="2">
        <v>2026</v>
      </c>
      <c r="C492" s="2" t="s">
        <v>2042</v>
      </c>
      <c r="D492" s="2">
        <v>5</v>
      </c>
      <c r="E492" s="2" t="s">
        <v>2044</v>
      </c>
      <c r="F492" s="2" t="s">
        <v>2070</v>
      </c>
    </row>
    <row r="493" spans="1:6" x14ac:dyDescent="0.3">
      <c r="A493" s="3">
        <v>46149</v>
      </c>
      <c r="B493" s="2">
        <v>2026</v>
      </c>
      <c r="C493" s="2" t="s">
        <v>2042</v>
      </c>
      <c r="D493" s="2">
        <v>5</v>
      </c>
      <c r="E493" s="2" t="s">
        <v>2044</v>
      </c>
      <c r="F493" s="2" t="s">
        <v>2070</v>
      </c>
    </row>
    <row r="494" spans="1:6" x14ac:dyDescent="0.3">
      <c r="A494" s="3">
        <v>46150</v>
      </c>
      <c r="B494" s="2">
        <v>2026</v>
      </c>
      <c r="C494" s="2" t="s">
        <v>2042</v>
      </c>
      <c r="D494" s="2">
        <v>5</v>
      </c>
      <c r="E494" s="2" t="s">
        <v>2044</v>
      </c>
      <c r="F494" s="2" t="s">
        <v>2070</v>
      </c>
    </row>
    <row r="495" spans="1:6" x14ac:dyDescent="0.3">
      <c r="A495" s="3">
        <v>46151</v>
      </c>
      <c r="B495" s="2">
        <v>2026</v>
      </c>
      <c r="C495" s="2" t="s">
        <v>2042</v>
      </c>
      <c r="D495" s="2">
        <v>5</v>
      </c>
      <c r="E495" s="2" t="s">
        <v>2044</v>
      </c>
      <c r="F495" s="2" t="s">
        <v>2070</v>
      </c>
    </row>
    <row r="496" spans="1:6" x14ac:dyDescent="0.3">
      <c r="A496" s="3">
        <v>46152</v>
      </c>
      <c r="B496" s="2">
        <v>2026</v>
      </c>
      <c r="C496" s="2" t="s">
        <v>2042</v>
      </c>
      <c r="D496" s="2">
        <v>5</v>
      </c>
      <c r="E496" s="2" t="s">
        <v>2044</v>
      </c>
      <c r="F496" s="2" t="s">
        <v>2070</v>
      </c>
    </row>
    <row r="497" spans="1:6" x14ac:dyDescent="0.3">
      <c r="A497" s="3">
        <v>46153</v>
      </c>
      <c r="B497" s="2">
        <v>2026</v>
      </c>
      <c r="C497" s="2" t="s">
        <v>2042</v>
      </c>
      <c r="D497" s="2">
        <v>5</v>
      </c>
      <c r="E497" s="2" t="s">
        <v>2044</v>
      </c>
      <c r="F497" s="2" t="s">
        <v>2070</v>
      </c>
    </row>
    <row r="498" spans="1:6" x14ac:dyDescent="0.3">
      <c r="A498" s="3">
        <v>46154</v>
      </c>
      <c r="B498" s="2">
        <v>2026</v>
      </c>
      <c r="C498" s="2" t="s">
        <v>2042</v>
      </c>
      <c r="D498" s="2">
        <v>5</v>
      </c>
      <c r="E498" s="2" t="s">
        <v>2044</v>
      </c>
      <c r="F498" s="2" t="s">
        <v>2070</v>
      </c>
    </row>
    <row r="499" spans="1:6" x14ac:dyDescent="0.3">
      <c r="A499" s="3">
        <v>46155</v>
      </c>
      <c r="B499" s="2">
        <v>2026</v>
      </c>
      <c r="C499" s="2" t="s">
        <v>2042</v>
      </c>
      <c r="D499" s="2">
        <v>5</v>
      </c>
      <c r="E499" s="2" t="s">
        <v>2044</v>
      </c>
      <c r="F499" s="2" t="s">
        <v>2070</v>
      </c>
    </row>
    <row r="500" spans="1:6" x14ac:dyDescent="0.3">
      <c r="A500" s="3">
        <v>46156</v>
      </c>
      <c r="B500" s="2">
        <v>2026</v>
      </c>
      <c r="C500" s="2" t="s">
        <v>2042</v>
      </c>
      <c r="D500" s="2">
        <v>5</v>
      </c>
      <c r="E500" s="2" t="s">
        <v>2044</v>
      </c>
      <c r="F500" s="2" t="s">
        <v>2070</v>
      </c>
    </row>
    <row r="501" spans="1:6" x14ac:dyDescent="0.3">
      <c r="A501" s="3">
        <v>46157</v>
      </c>
      <c r="B501" s="2">
        <v>2026</v>
      </c>
      <c r="C501" s="2" t="s">
        <v>2042</v>
      </c>
      <c r="D501" s="2">
        <v>5</v>
      </c>
      <c r="E501" s="2" t="s">
        <v>2044</v>
      </c>
      <c r="F501" s="2" t="s">
        <v>2070</v>
      </c>
    </row>
    <row r="502" spans="1:6" x14ac:dyDescent="0.3">
      <c r="A502" s="3">
        <v>46158</v>
      </c>
      <c r="B502" s="2">
        <v>2026</v>
      </c>
      <c r="C502" s="2" t="s">
        <v>2042</v>
      </c>
      <c r="D502" s="2">
        <v>5</v>
      </c>
      <c r="E502" s="2" t="s">
        <v>2044</v>
      </c>
      <c r="F502" s="2" t="s">
        <v>2070</v>
      </c>
    </row>
    <row r="503" spans="1:6" x14ac:dyDescent="0.3">
      <c r="A503" s="3">
        <v>46159</v>
      </c>
      <c r="B503" s="2">
        <v>2026</v>
      </c>
      <c r="C503" s="2" t="s">
        <v>2042</v>
      </c>
      <c r="D503" s="2">
        <v>5</v>
      </c>
      <c r="E503" s="2" t="s">
        <v>2044</v>
      </c>
      <c r="F503" s="2" t="s">
        <v>2070</v>
      </c>
    </row>
    <row r="504" spans="1:6" x14ac:dyDescent="0.3">
      <c r="A504" s="3">
        <v>46160</v>
      </c>
      <c r="B504" s="2">
        <v>2026</v>
      </c>
      <c r="C504" s="2" t="s">
        <v>2042</v>
      </c>
      <c r="D504" s="2">
        <v>5</v>
      </c>
      <c r="E504" s="2" t="s">
        <v>2044</v>
      </c>
      <c r="F504" s="2" t="s">
        <v>2070</v>
      </c>
    </row>
    <row r="505" spans="1:6" x14ac:dyDescent="0.3">
      <c r="A505" s="3">
        <v>46161</v>
      </c>
      <c r="B505" s="2">
        <v>2026</v>
      </c>
      <c r="C505" s="2" t="s">
        <v>2042</v>
      </c>
      <c r="D505" s="2">
        <v>5</v>
      </c>
      <c r="E505" s="2" t="s">
        <v>2044</v>
      </c>
      <c r="F505" s="2" t="s">
        <v>2070</v>
      </c>
    </row>
    <row r="506" spans="1:6" x14ac:dyDescent="0.3">
      <c r="A506" s="3">
        <v>46162</v>
      </c>
      <c r="B506" s="2">
        <v>2026</v>
      </c>
      <c r="C506" s="2" t="s">
        <v>2042</v>
      </c>
      <c r="D506" s="2">
        <v>5</v>
      </c>
      <c r="E506" s="2" t="s">
        <v>2044</v>
      </c>
      <c r="F506" s="2" t="s">
        <v>2070</v>
      </c>
    </row>
    <row r="507" spans="1:6" x14ac:dyDescent="0.3">
      <c r="A507" s="3">
        <v>46163</v>
      </c>
      <c r="B507" s="2">
        <v>2026</v>
      </c>
      <c r="C507" s="2" t="s">
        <v>2042</v>
      </c>
      <c r="D507" s="2">
        <v>5</v>
      </c>
      <c r="E507" s="2" t="s">
        <v>2044</v>
      </c>
      <c r="F507" s="2" t="s">
        <v>2070</v>
      </c>
    </row>
    <row r="508" spans="1:6" x14ac:dyDescent="0.3">
      <c r="A508" s="3">
        <v>46164</v>
      </c>
      <c r="B508" s="2">
        <v>2026</v>
      </c>
      <c r="C508" s="2" t="s">
        <v>2042</v>
      </c>
      <c r="D508" s="2">
        <v>5</v>
      </c>
      <c r="E508" s="2" t="s">
        <v>2044</v>
      </c>
      <c r="F508" s="2" t="s">
        <v>2070</v>
      </c>
    </row>
    <row r="509" spans="1:6" x14ac:dyDescent="0.3">
      <c r="A509" s="3">
        <v>46165</v>
      </c>
      <c r="B509" s="2">
        <v>2026</v>
      </c>
      <c r="C509" s="2" t="s">
        <v>2042</v>
      </c>
      <c r="D509" s="2">
        <v>5</v>
      </c>
      <c r="E509" s="2" t="s">
        <v>2044</v>
      </c>
      <c r="F509" s="2" t="s">
        <v>2070</v>
      </c>
    </row>
    <row r="510" spans="1:6" x14ac:dyDescent="0.3">
      <c r="A510" s="3">
        <v>46166</v>
      </c>
      <c r="B510" s="2">
        <v>2026</v>
      </c>
      <c r="C510" s="2" t="s">
        <v>2042</v>
      </c>
      <c r="D510" s="2">
        <v>5</v>
      </c>
      <c r="E510" s="2" t="s">
        <v>2044</v>
      </c>
      <c r="F510" s="2" t="s">
        <v>2070</v>
      </c>
    </row>
    <row r="511" spans="1:6" x14ac:dyDescent="0.3">
      <c r="A511" s="3">
        <v>46167</v>
      </c>
      <c r="B511" s="2">
        <v>2026</v>
      </c>
      <c r="C511" s="2" t="s">
        <v>2042</v>
      </c>
      <c r="D511" s="2">
        <v>5</v>
      </c>
      <c r="E511" s="2" t="s">
        <v>2044</v>
      </c>
      <c r="F511" s="2" t="s">
        <v>2070</v>
      </c>
    </row>
    <row r="512" spans="1:6" x14ac:dyDescent="0.3">
      <c r="A512" s="3">
        <v>46168</v>
      </c>
      <c r="B512" s="2">
        <v>2026</v>
      </c>
      <c r="C512" s="2" t="s">
        <v>2042</v>
      </c>
      <c r="D512" s="2">
        <v>5</v>
      </c>
      <c r="E512" s="2" t="s">
        <v>2044</v>
      </c>
      <c r="F512" s="2" t="s">
        <v>2070</v>
      </c>
    </row>
    <row r="513" spans="1:6" x14ac:dyDescent="0.3">
      <c r="A513" s="3">
        <v>46169</v>
      </c>
      <c r="B513" s="2">
        <v>2026</v>
      </c>
      <c r="C513" s="2" t="s">
        <v>2042</v>
      </c>
      <c r="D513" s="2">
        <v>5</v>
      </c>
      <c r="E513" s="2" t="s">
        <v>2044</v>
      </c>
      <c r="F513" s="2" t="s">
        <v>2070</v>
      </c>
    </row>
    <row r="514" spans="1:6" x14ac:dyDescent="0.3">
      <c r="A514" s="3">
        <v>46170</v>
      </c>
      <c r="B514" s="2">
        <v>2026</v>
      </c>
      <c r="C514" s="2" t="s">
        <v>2042</v>
      </c>
      <c r="D514" s="2">
        <v>5</v>
      </c>
      <c r="E514" s="2" t="s">
        <v>2044</v>
      </c>
      <c r="F514" s="2" t="s">
        <v>2070</v>
      </c>
    </row>
    <row r="515" spans="1:6" x14ac:dyDescent="0.3">
      <c r="A515" s="3">
        <v>46171</v>
      </c>
      <c r="B515" s="2">
        <v>2026</v>
      </c>
      <c r="C515" s="2" t="s">
        <v>2042</v>
      </c>
      <c r="D515" s="2">
        <v>5</v>
      </c>
      <c r="E515" s="2" t="s">
        <v>2044</v>
      </c>
      <c r="F515" s="2" t="s">
        <v>2070</v>
      </c>
    </row>
    <row r="516" spans="1:6" x14ac:dyDescent="0.3">
      <c r="A516" s="3">
        <v>46172</v>
      </c>
      <c r="B516" s="2">
        <v>2026</v>
      </c>
      <c r="C516" s="2" t="s">
        <v>2042</v>
      </c>
      <c r="D516" s="2">
        <v>5</v>
      </c>
      <c r="E516" s="2" t="s">
        <v>2044</v>
      </c>
      <c r="F516" s="2" t="s">
        <v>2070</v>
      </c>
    </row>
    <row r="517" spans="1:6" x14ac:dyDescent="0.3">
      <c r="A517" s="3">
        <v>46173</v>
      </c>
      <c r="B517" s="2">
        <v>2026</v>
      </c>
      <c r="C517" s="2" t="s">
        <v>2042</v>
      </c>
      <c r="D517" s="2">
        <v>5</v>
      </c>
      <c r="E517" s="2" t="s">
        <v>2044</v>
      </c>
      <c r="F517" s="2" t="s">
        <v>2070</v>
      </c>
    </row>
    <row r="518" spans="1:6" x14ac:dyDescent="0.3">
      <c r="A518" s="3">
        <v>46174</v>
      </c>
      <c r="B518" s="2">
        <v>2026</v>
      </c>
      <c r="C518" s="2" t="s">
        <v>2042</v>
      </c>
      <c r="D518" s="2">
        <v>6</v>
      </c>
      <c r="E518" s="2" t="s">
        <v>2045</v>
      </c>
      <c r="F518" s="2" t="s">
        <v>2071</v>
      </c>
    </row>
    <row r="519" spans="1:6" x14ac:dyDescent="0.3">
      <c r="A519" s="3">
        <v>46175</v>
      </c>
      <c r="B519" s="2">
        <v>2026</v>
      </c>
      <c r="C519" s="2" t="s">
        <v>2042</v>
      </c>
      <c r="D519" s="2">
        <v>6</v>
      </c>
      <c r="E519" s="2" t="s">
        <v>2045</v>
      </c>
      <c r="F519" s="2" t="s">
        <v>2071</v>
      </c>
    </row>
    <row r="520" spans="1:6" x14ac:dyDescent="0.3">
      <c r="A520" s="3">
        <v>46176</v>
      </c>
      <c r="B520" s="2">
        <v>2026</v>
      </c>
      <c r="C520" s="2" t="s">
        <v>2042</v>
      </c>
      <c r="D520" s="2">
        <v>6</v>
      </c>
      <c r="E520" s="2" t="s">
        <v>2045</v>
      </c>
      <c r="F520" s="2" t="s">
        <v>2071</v>
      </c>
    </row>
    <row r="521" spans="1:6" x14ac:dyDescent="0.3">
      <c r="A521" s="3">
        <v>46177</v>
      </c>
      <c r="B521" s="2">
        <v>2026</v>
      </c>
      <c r="C521" s="2" t="s">
        <v>2042</v>
      </c>
      <c r="D521" s="2">
        <v>6</v>
      </c>
      <c r="E521" s="2" t="s">
        <v>2045</v>
      </c>
      <c r="F521" s="2" t="s">
        <v>2071</v>
      </c>
    </row>
    <row r="522" spans="1:6" x14ac:dyDescent="0.3">
      <c r="A522" s="3">
        <v>46178</v>
      </c>
      <c r="B522" s="2">
        <v>2026</v>
      </c>
      <c r="C522" s="2" t="s">
        <v>2042</v>
      </c>
      <c r="D522" s="2">
        <v>6</v>
      </c>
      <c r="E522" s="2" t="s">
        <v>2045</v>
      </c>
      <c r="F522" s="2" t="s">
        <v>2071</v>
      </c>
    </row>
    <row r="523" spans="1:6" x14ac:dyDescent="0.3">
      <c r="A523" s="3">
        <v>46179</v>
      </c>
      <c r="B523" s="2">
        <v>2026</v>
      </c>
      <c r="C523" s="2" t="s">
        <v>2042</v>
      </c>
      <c r="D523" s="2">
        <v>6</v>
      </c>
      <c r="E523" s="2" t="s">
        <v>2045</v>
      </c>
      <c r="F523" s="2" t="s">
        <v>2071</v>
      </c>
    </row>
    <row r="524" spans="1:6" x14ac:dyDescent="0.3">
      <c r="A524" s="3">
        <v>46180</v>
      </c>
      <c r="B524" s="2">
        <v>2026</v>
      </c>
      <c r="C524" s="2" t="s">
        <v>2042</v>
      </c>
      <c r="D524" s="2">
        <v>6</v>
      </c>
      <c r="E524" s="2" t="s">
        <v>2045</v>
      </c>
      <c r="F524" s="2" t="s">
        <v>2071</v>
      </c>
    </row>
    <row r="525" spans="1:6" x14ac:dyDescent="0.3">
      <c r="A525" s="3">
        <v>46181</v>
      </c>
      <c r="B525" s="2">
        <v>2026</v>
      </c>
      <c r="C525" s="2" t="s">
        <v>2042</v>
      </c>
      <c r="D525" s="2">
        <v>6</v>
      </c>
      <c r="E525" s="2" t="s">
        <v>2045</v>
      </c>
      <c r="F525" s="2" t="s">
        <v>2071</v>
      </c>
    </row>
    <row r="526" spans="1:6" x14ac:dyDescent="0.3">
      <c r="A526" s="3">
        <v>46182</v>
      </c>
      <c r="B526" s="2">
        <v>2026</v>
      </c>
      <c r="C526" s="2" t="s">
        <v>2042</v>
      </c>
      <c r="D526" s="2">
        <v>6</v>
      </c>
      <c r="E526" s="2" t="s">
        <v>2045</v>
      </c>
      <c r="F526" s="2" t="s">
        <v>2071</v>
      </c>
    </row>
    <row r="527" spans="1:6" x14ac:dyDescent="0.3">
      <c r="A527" s="3">
        <v>46183</v>
      </c>
      <c r="B527" s="2">
        <v>2026</v>
      </c>
      <c r="C527" s="2" t="s">
        <v>2042</v>
      </c>
      <c r="D527" s="2">
        <v>6</v>
      </c>
      <c r="E527" s="2" t="s">
        <v>2045</v>
      </c>
      <c r="F527" s="2" t="s">
        <v>2071</v>
      </c>
    </row>
    <row r="528" spans="1:6" x14ac:dyDescent="0.3">
      <c r="A528" s="3">
        <v>46184</v>
      </c>
      <c r="B528" s="2">
        <v>2026</v>
      </c>
      <c r="C528" s="2" t="s">
        <v>2042</v>
      </c>
      <c r="D528" s="2">
        <v>6</v>
      </c>
      <c r="E528" s="2" t="s">
        <v>2045</v>
      </c>
      <c r="F528" s="2" t="s">
        <v>2071</v>
      </c>
    </row>
    <row r="529" spans="1:6" x14ac:dyDescent="0.3">
      <c r="A529" s="3">
        <v>46185</v>
      </c>
      <c r="B529" s="2">
        <v>2026</v>
      </c>
      <c r="C529" s="2" t="s">
        <v>2042</v>
      </c>
      <c r="D529" s="2">
        <v>6</v>
      </c>
      <c r="E529" s="2" t="s">
        <v>2045</v>
      </c>
      <c r="F529" s="2" t="s">
        <v>2071</v>
      </c>
    </row>
    <row r="530" spans="1:6" x14ac:dyDescent="0.3">
      <c r="A530" s="3">
        <v>46186</v>
      </c>
      <c r="B530" s="2">
        <v>2026</v>
      </c>
      <c r="C530" s="2" t="s">
        <v>2042</v>
      </c>
      <c r="D530" s="2">
        <v>6</v>
      </c>
      <c r="E530" s="2" t="s">
        <v>2045</v>
      </c>
      <c r="F530" s="2" t="s">
        <v>2071</v>
      </c>
    </row>
    <row r="531" spans="1:6" x14ac:dyDescent="0.3">
      <c r="A531" s="3">
        <v>46187</v>
      </c>
      <c r="B531" s="2">
        <v>2026</v>
      </c>
      <c r="C531" s="2" t="s">
        <v>2042</v>
      </c>
      <c r="D531" s="2">
        <v>6</v>
      </c>
      <c r="E531" s="2" t="s">
        <v>2045</v>
      </c>
      <c r="F531" s="2" t="s">
        <v>2071</v>
      </c>
    </row>
    <row r="532" spans="1:6" x14ac:dyDescent="0.3">
      <c r="A532" s="3">
        <v>46188</v>
      </c>
      <c r="B532" s="2">
        <v>2026</v>
      </c>
      <c r="C532" s="2" t="s">
        <v>2042</v>
      </c>
      <c r="D532" s="2">
        <v>6</v>
      </c>
      <c r="E532" s="2" t="s">
        <v>2045</v>
      </c>
      <c r="F532" s="2" t="s">
        <v>2071</v>
      </c>
    </row>
    <row r="533" spans="1:6" x14ac:dyDescent="0.3">
      <c r="A533" s="3">
        <v>46189</v>
      </c>
      <c r="B533" s="2">
        <v>2026</v>
      </c>
      <c r="C533" s="2" t="s">
        <v>2042</v>
      </c>
      <c r="D533" s="2">
        <v>6</v>
      </c>
      <c r="E533" s="2" t="s">
        <v>2045</v>
      </c>
      <c r="F533" s="2" t="s">
        <v>2071</v>
      </c>
    </row>
    <row r="534" spans="1:6" x14ac:dyDescent="0.3">
      <c r="A534" s="3">
        <v>46190</v>
      </c>
      <c r="B534" s="2">
        <v>2026</v>
      </c>
      <c r="C534" s="2" t="s">
        <v>2042</v>
      </c>
      <c r="D534" s="2">
        <v>6</v>
      </c>
      <c r="E534" s="2" t="s">
        <v>2045</v>
      </c>
      <c r="F534" s="2" t="s">
        <v>2071</v>
      </c>
    </row>
    <row r="535" spans="1:6" x14ac:dyDescent="0.3">
      <c r="A535" s="3">
        <v>46191</v>
      </c>
      <c r="B535" s="2">
        <v>2026</v>
      </c>
      <c r="C535" s="2" t="s">
        <v>2042</v>
      </c>
      <c r="D535" s="2">
        <v>6</v>
      </c>
      <c r="E535" s="2" t="s">
        <v>2045</v>
      </c>
      <c r="F535" s="2" t="s">
        <v>2071</v>
      </c>
    </row>
    <row r="536" spans="1:6" x14ac:dyDescent="0.3">
      <c r="A536" s="3">
        <v>46192</v>
      </c>
      <c r="B536" s="2">
        <v>2026</v>
      </c>
      <c r="C536" s="2" t="s">
        <v>2042</v>
      </c>
      <c r="D536" s="2">
        <v>6</v>
      </c>
      <c r="E536" s="2" t="s">
        <v>2045</v>
      </c>
      <c r="F536" s="2" t="s">
        <v>2071</v>
      </c>
    </row>
    <row r="537" spans="1:6" x14ac:dyDescent="0.3">
      <c r="A537" s="3">
        <v>46193</v>
      </c>
      <c r="B537" s="2">
        <v>2026</v>
      </c>
      <c r="C537" s="2" t="s">
        <v>2042</v>
      </c>
      <c r="D537" s="2">
        <v>6</v>
      </c>
      <c r="E537" s="2" t="s">
        <v>2045</v>
      </c>
      <c r="F537" s="2" t="s">
        <v>2071</v>
      </c>
    </row>
    <row r="538" spans="1:6" x14ac:dyDescent="0.3">
      <c r="A538" s="3">
        <v>46194</v>
      </c>
      <c r="B538" s="2">
        <v>2026</v>
      </c>
      <c r="C538" s="2" t="s">
        <v>2042</v>
      </c>
      <c r="D538" s="2">
        <v>6</v>
      </c>
      <c r="E538" s="2" t="s">
        <v>2045</v>
      </c>
      <c r="F538" s="2" t="s">
        <v>2071</v>
      </c>
    </row>
    <row r="539" spans="1:6" x14ac:dyDescent="0.3">
      <c r="A539" s="3">
        <v>46195</v>
      </c>
      <c r="B539" s="2">
        <v>2026</v>
      </c>
      <c r="C539" s="2" t="s">
        <v>2042</v>
      </c>
      <c r="D539" s="2">
        <v>6</v>
      </c>
      <c r="E539" s="2" t="s">
        <v>2045</v>
      </c>
      <c r="F539" s="2" t="s">
        <v>2071</v>
      </c>
    </row>
    <row r="540" spans="1:6" x14ac:dyDescent="0.3">
      <c r="A540" s="3">
        <v>46196</v>
      </c>
      <c r="B540" s="2">
        <v>2026</v>
      </c>
      <c r="C540" s="2" t="s">
        <v>2042</v>
      </c>
      <c r="D540" s="2">
        <v>6</v>
      </c>
      <c r="E540" s="2" t="s">
        <v>2045</v>
      </c>
      <c r="F540" s="2" t="s">
        <v>2071</v>
      </c>
    </row>
    <row r="541" spans="1:6" x14ac:dyDescent="0.3">
      <c r="A541" s="3">
        <v>46197</v>
      </c>
      <c r="B541" s="2">
        <v>2026</v>
      </c>
      <c r="C541" s="2" t="s">
        <v>2042</v>
      </c>
      <c r="D541" s="2">
        <v>6</v>
      </c>
      <c r="E541" s="2" t="s">
        <v>2045</v>
      </c>
      <c r="F541" s="2" t="s">
        <v>2071</v>
      </c>
    </row>
    <row r="542" spans="1:6" x14ac:dyDescent="0.3">
      <c r="A542" s="3">
        <v>46198</v>
      </c>
      <c r="B542" s="2">
        <v>2026</v>
      </c>
      <c r="C542" s="2" t="s">
        <v>2042</v>
      </c>
      <c r="D542" s="2">
        <v>6</v>
      </c>
      <c r="E542" s="2" t="s">
        <v>2045</v>
      </c>
      <c r="F542" s="2" t="s">
        <v>2071</v>
      </c>
    </row>
    <row r="543" spans="1:6" x14ac:dyDescent="0.3">
      <c r="A543" s="3">
        <v>46199</v>
      </c>
      <c r="B543" s="2">
        <v>2026</v>
      </c>
      <c r="C543" s="2" t="s">
        <v>2042</v>
      </c>
      <c r="D543" s="2">
        <v>6</v>
      </c>
      <c r="E543" s="2" t="s">
        <v>2045</v>
      </c>
      <c r="F543" s="2" t="s">
        <v>2071</v>
      </c>
    </row>
    <row r="544" spans="1:6" x14ac:dyDescent="0.3">
      <c r="A544" s="3">
        <v>46200</v>
      </c>
      <c r="B544" s="2">
        <v>2026</v>
      </c>
      <c r="C544" s="2" t="s">
        <v>2042</v>
      </c>
      <c r="D544" s="2">
        <v>6</v>
      </c>
      <c r="E544" s="2" t="s">
        <v>2045</v>
      </c>
      <c r="F544" s="2" t="s">
        <v>2071</v>
      </c>
    </row>
    <row r="545" spans="1:6" x14ac:dyDescent="0.3">
      <c r="A545" s="3">
        <v>46201</v>
      </c>
      <c r="B545" s="2">
        <v>2026</v>
      </c>
      <c r="C545" s="2" t="s">
        <v>2042</v>
      </c>
      <c r="D545" s="2">
        <v>6</v>
      </c>
      <c r="E545" s="2" t="s">
        <v>2045</v>
      </c>
      <c r="F545" s="2" t="s">
        <v>2071</v>
      </c>
    </row>
    <row r="546" spans="1:6" x14ac:dyDescent="0.3">
      <c r="A546" s="3">
        <v>46202</v>
      </c>
      <c r="B546" s="2">
        <v>2026</v>
      </c>
      <c r="C546" s="2" t="s">
        <v>2042</v>
      </c>
      <c r="D546" s="2">
        <v>6</v>
      </c>
      <c r="E546" s="2" t="s">
        <v>2045</v>
      </c>
      <c r="F546" s="2" t="s">
        <v>2071</v>
      </c>
    </row>
    <row r="547" spans="1:6" x14ac:dyDescent="0.3">
      <c r="A547" s="3">
        <v>46203</v>
      </c>
      <c r="B547" s="2">
        <v>2026</v>
      </c>
      <c r="C547" s="2" t="s">
        <v>2042</v>
      </c>
      <c r="D547" s="2">
        <v>6</v>
      </c>
      <c r="E547" s="2" t="s">
        <v>2045</v>
      </c>
      <c r="F547" s="2" t="s">
        <v>2071</v>
      </c>
    </row>
    <row r="548" spans="1:6" x14ac:dyDescent="0.3">
      <c r="A548" s="3">
        <v>46204</v>
      </c>
      <c r="B548" s="2">
        <v>2026</v>
      </c>
      <c r="C548" s="2" t="s">
        <v>2046</v>
      </c>
      <c r="D548" s="2">
        <v>7</v>
      </c>
      <c r="E548" s="2" t="s">
        <v>2047</v>
      </c>
      <c r="F548" s="2" t="s">
        <v>2072</v>
      </c>
    </row>
    <row r="549" spans="1:6" x14ac:dyDescent="0.3">
      <c r="A549" s="3">
        <v>46205</v>
      </c>
      <c r="B549" s="2">
        <v>2026</v>
      </c>
      <c r="C549" s="2" t="s">
        <v>2046</v>
      </c>
      <c r="D549" s="2">
        <v>7</v>
      </c>
      <c r="E549" s="2" t="s">
        <v>2047</v>
      </c>
      <c r="F549" s="2" t="s">
        <v>2072</v>
      </c>
    </row>
    <row r="550" spans="1:6" x14ac:dyDescent="0.3">
      <c r="A550" s="3">
        <v>46206</v>
      </c>
      <c r="B550" s="2">
        <v>2026</v>
      </c>
      <c r="C550" s="2" t="s">
        <v>2046</v>
      </c>
      <c r="D550" s="2">
        <v>7</v>
      </c>
      <c r="E550" s="2" t="s">
        <v>2047</v>
      </c>
      <c r="F550" s="2" t="s">
        <v>2072</v>
      </c>
    </row>
    <row r="551" spans="1:6" x14ac:dyDescent="0.3">
      <c r="A551" s="3">
        <v>46207</v>
      </c>
      <c r="B551" s="2">
        <v>2026</v>
      </c>
      <c r="C551" s="2" t="s">
        <v>2046</v>
      </c>
      <c r="D551" s="2">
        <v>7</v>
      </c>
      <c r="E551" s="2" t="s">
        <v>2047</v>
      </c>
      <c r="F551" s="2" t="s">
        <v>2072</v>
      </c>
    </row>
    <row r="552" spans="1:6" x14ac:dyDescent="0.3">
      <c r="A552" s="3">
        <v>46208</v>
      </c>
      <c r="B552" s="2">
        <v>2026</v>
      </c>
      <c r="C552" s="2" t="s">
        <v>2046</v>
      </c>
      <c r="D552" s="2">
        <v>7</v>
      </c>
      <c r="E552" s="2" t="s">
        <v>2047</v>
      </c>
      <c r="F552" s="2" t="s">
        <v>2072</v>
      </c>
    </row>
    <row r="553" spans="1:6" x14ac:dyDescent="0.3">
      <c r="A553" s="3">
        <v>46209</v>
      </c>
      <c r="B553" s="2">
        <v>2026</v>
      </c>
      <c r="C553" s="2" t="s">
        <v>2046</v>
      </c>
      <c r="D553" s="2">
        <v>7</v>
      </c>
      <c r="E553" s="2" t="s">
        <v>2047</v>
      </c>
      <c r="F553" s="2" t="s">
        <v>2072</v>
      </c>
    </row>
    <row r="554" spans="1:6" x14ac:dyDescent="0.3">
      <c r="A554" s="3">
        <v>46210</v>
      </c>
      <c r="B554" s="2">
        <v>2026</v>
      </c>
      <c r="C554" s="2" t="s">
        <v>2046</v>
      </c>
      <c r="D554" s="2">
        <v>7</v>
      </c>
      <c r="E554" s="2" t="s">
        <v>2047</v>
      </c>
      <c r="F554" s="2" t="s">
        <v>2072</v>
      </c>
    </row>
    <row r="555" spans="1:6" x14ac:dyDescent="0.3">
      <c r="A555" s="3">
        <v>46211</v>
      </c>
      <c r="B555" s="2">
        <v>2026</v>
      </c>
      <c r="C555" s="2" t="s">
        <v>2046</v>
      </c>
      <c r="D555" s="2">
        <v>7</v>
      </c>
      <c r="E555" s="2" t="s">
        <v>2047</v>
      </c>
      <c r="F555" s="2" t="s">
        <v>2072</v>
      </c>
    </row>
    <row r="556" spans="1:6" x14ac:dyDescent="0.3">
      <c r="A556" s="3">
        <v>46212</v>
      </c>
      <c r="B556" s="2">
        <v>2026</v>
      </c>
      <c r="C556" s="2" t="s">
        <v>2046</v>
      </c>
      <c r="D556" s="2">
        <v>7</v>
      </c>
      <c r="E556" s="2" t="s">
        <v>2047</v>
      </c>
      <c r="F556" s="2" t="s">
        <v>2072</v>
      </c>
    </row>
    <row r="557" spans="1:6" x14ac:dyDescent="0.3">
      <c r="A557" s="3">
        <v>46213</v>
      </c>
      <c r="B557" s="2">
        <v>2026</v>
      </c>
      <c r="C557" s="2" t="s">
        <v>2046</v>
      </c>
      <c r="D557" s="2">
        <v>7</v>
      </c>
      <c r="E557" s="2" t="s">
        <v>2047</v>
      </c>
      <c r="F557" s="2" t="s">
        <v>2072</v>
      </c>
    </row>
    <row r="558" spans="1:6" x14ac:dyDescent="0.3">
      <c r="A558" s="3">
        <v>46214</v>
      </c>
      <c r="B558" s="2">
        <v>2026</v>
      </c>
      <c r="C558" s="2" t="s">
        <v>2046</v>
      </c>
      <c r="D558" s="2">
        <v>7</v>
      </c>
      <c r="E558" s="2" t="s">
        <v>2047</v>
      </c>
      <c r="F558" s="2" t="s">
        <v>2072</v>
      </c>
    </row>
    <row r="559" spans="1:6" x14ac:dyDescent="0.3">
      <c r="A559" s="3">
        <v>46215</v>
      </c>
      <c r="B559" s="2">
        <v>2026</v>
      </c>
      <c r="C559" s="2" t="s">
        <v>2046</v>
      </c>
      <c r="D559" s="2">
        <v>7</v>
      </c>
      <c r="E559" s="2" t="s">
        <v>2047</v>
      </c>
      <c r="F559" s="2" t="s">
        <v>2072</v>
      </c>
    </row>
    <row r="560" spans="1:6" x14ac:dyDescent="0.3">
      <c r="A560" s="3">
        <v>46216</v>
      </c>
      <c r="B560" s="2">
        <v>2026</v>
      </c>
      <c r="C560" s="2" t="s">
        <v>2046</v>
      </c>
      <c r="D560" s="2">
        <v>7</v>
      </c>
      <c r="E560" s="2" t="s">
        <v>2047</v>
      </c>
      <c r="F560" s="2" t="s">
        <v>2072</v>
      </c>
    </row>
    <row r="561" spans="1:6" x14ac:dyDescent="0.3">
      <c r="A561" s="3">
        <v>46217</v>
      </c>
      <c r="B561" s="2">
        <v>2026</v>
      </c>
      <c r="C561" s="2" t="s">
        <v>2046</v>
      </c>
      <c r="D561" s="2">
        <v>7</v>
      </c>
      <c r="E561" s="2" t="s">
        <v>2047</v>
      </c>
      <c r="F561" s="2" t="s">
        <v>2072</v>
      </c>
    </row>
    <row r="562" spans="1:6" x14ac:dyDescent="0.3">
      <c r="A562" s="3">
        <v>46218</v>
      </c>
      <c r="B562" s="2">
        <v>2026</v>
      </c>
      <c r="C562" s="2" t="s">
        <v>2046</v>
      </c>
      <c r="D562" s="2">
        <v>7</v>
      </c>
      <c r="E562" s="2" t="s">
        <v>2047</v>
      </c>
      <c r="F562" s="2" t="s">
        <v>2072</v>
      </c>
    </row>
    <row r="563" spans="1:6" x14ac:dyDescent="0.3">
      <c r="A563" s="3">
        <v>46219</v>
      </c>
      <c r="B563" s="2">
        <v>2026</v>
      </c>
      <c r="C563" s="2" t="s">
        <v>2046</v>
      </c>
      <c r="D563" s="2">
        <v>7</v>
      </c>
      <c r="E563" s="2" t="s">
        <v>2047</v>
      </c>
      <c r="F563" s="2" t="s">
        <v>2072</v>
      </c>
    </row>
    <row r="564" spans="1:6" x14ac:dyDescent="0.3">
      <c r="A564" s="3">
        <v>46220</v>
      </c>
      <c r="B564" s="2">
        <v>2026</v>
      </c>
      <c r="C564" s="2" t="s">
        <v>2046</v>
      </c>
      <c r="D564" s="2">
        <v>7</v>
      </c>
      <c r="E564" s="2" t="s">
        <v>2047</v>
      </c>
      <c r="F564" s="2" t="s">
        <v>2072</v>
      </c>
    </row>
    <row r="565" spans="1:6" x14ac:dyDescent="0.3">
      <c r="A565" s="3">
        <v>46221</v>
      </c>
      <c r="B565" s="2">
        <v>2026</v>
      </c>
      <c r="C565" s="2" t="s">
        <v>2046</v>
      </c>
      <c r="D565" s="2">
        <v>7</v>
      </c>
      <c r="E565" s="2" t="s">
        <v>2047</v>
      </c>
      <c r="F565" s="2" t="s">
        <v>2072</v>
      </c>
    </row>
    <row r="566" spans="1:6" x14ac:dyDescent="0.3">
      <c r="A566" s="3">
        <v>46222</v>
      </c>
      <c r="B566" s="2">
        <v>2026</v>
      </c>
      <c r="C566" s="2" t="s">
        <v>2046</v>
      </c>
      <c r="D566" s="2">
        <v>7</v>
      </c>
      <c r="E566" s="2" t="s">
        <v>2047</v>
      </c>
      <c r="F566" s="2" t="s">
        <v>2072</v>
      </c>
    </row>
    <row r="567" spans="1:6" x14ac:dyDescent="0.3">
      <c r="A567" s="3">
        <v>46223</v>
      </c>
      <c r="B567" s="2">
        <v>2026</v>
      </c>
      <c r="C567" s="2" t="s">
        <v>2046</v>
      </c>
      <c r="D567" s="2">
        <v>7</v>
      </c>
      <c r="E567" s="2" t="s">
        <v>2047</v>
      </c>
      <c r="F567" s="2" t="s">
        <v>2072</v>
      </c>
    </row>
    <row r="568" spans="1:6" x14ac:dyDescent="0.3">
      <c r="A568" s="3">
        <v>46224</v>
      </c>
      <c r="B568" s="2">
        <v>2026</v>
      </c>
      <c r="C568" s="2" t="s">
        <v>2046</v>
      </c>
      <c r="D568" s="2">
        <v>7</v>
      </c>
      <c r="E568" s="2" t="s">
        <v>2047</v>
      </c>
      <c r="F568" s="2" t="s">
        <v>2072</v>
      </c>
    </row>
    <row r="569" spans="1:6" x14ac:dyDescent="0.3">
      <c r="A569" s="3">
        <v>46225</v>
      </c>
      <c r="B569" s="2">
        <v>2026</v>
      </c>
      <c r="C569" s="2" t="s">
        <v>2046</v>
      </c>
      <c r="D569" s="2">
        <v>7</v>
      </c>
      <c r="E569" s="2" t="s">
        <v>2047</v>
      </c>
      <c r="F569" s="2" t="s">
        <v>2072</v>
      </c>
    </row>
    <row r="570" spans="1:6" x14ac:dyDescent="0.3">
      <c r="A570" s="3">
        <v>46226</v>
      </c>
      <c r="B570" s="2">
        <v>2026</v>
      </c>
      <c r="C570" s="2" t="s">
        <v>2046</v>
      </c>
      <c r="D570" s="2">
        <v>7</v>
      </c>
      <c r="E570" s="2" t="s">
        <v>2047</v>
      </c>
      <c r="F570" s="2" t="s">
        <v>2072</v>
      </c>
    </row>
    <row r="571" spans="1:6" x14ac:dyDescent="0.3">
      <c r="A571" s="3">
        <v>46227</v>
      </c>
      <c r="B571" s="2">
        <v>2026</v>
      </c>
      <c r="C571" s="2" t="s">
        <v>2046</v>
      </c>
      <c r="D571" s="2">
        <v>7</v>
      </c>
      <c r="E571" s="2" t="s">
        <v>2047</v>
      </c>
      <c r="F571" s="2" t="s">
        <v>2072</v>
      </c>
    </row>
    <row r="572" spans="1:6" x14ac:dyDescent="0.3">
      <c r="A572" s="3">
        <v>46228</v>
      </c>
      <c r="B572" s="2">
        <v>2026</v>
      </c>
      <c r="C572" s="2" t="s">
        <v>2046</v>
      </c>
      <c r="D572" s="2">
        <v>7</v>
      </c>
      <c r="E572" s="2" t="s">
        <v>2047</v>
      </c>
      <c r="F572" s="2" t="s">
        <v>2072</v>
      </c>
    </row>
    <row r="573" spans="1:6" x14ac:dyDescent="0.3">
      <c r="A573" s="3">
        <v>46229</v>
      </c>
      <c r="B573" s="2">
        <v>2026</v>
      </c>
      <c r="C573" s="2" t="s">
        <v>2046</v>
      </c>
      <c r="D573" s="2">
        <v>7</v>
      </c>
      <c r="E573" s="2" t="s">
        <v>2047</v>
      </c>
      <c r="F573" s="2" t="s">
        <v>2072</v>
      </c>
    </row>
    <row r="574" spans="1:6" x14ac:dyDescent="0.3">
      <c r="A574" s="3">
        <v>46230</v>
      </c>
      <c r="B574" s="2">
        <v>2026</v>
      </c>
      <c r="C574" s="2" t="s">
        <v>2046</v>
      </c>
      <c r="D574" s="2">
        <v>7</v>
      </c>
      <c r="E574" s="2" t="s">
        <v>2047</v>
      </c>
      <c r="F574" s="2" t="s">
        <v>2072</v>
      </c>
    </row>
    <row r="575" spans="1:6" x14ac:dyDescent="0.3">
      <c r="A575" s="3">
        <v>46231</v>
      </c>
      <c r="B575" s="2">
        <v>2026</v>
      </c>
      <c r="C575" s="2" t="s">
        <v>2046</v>
      </c>
      <c r="D575" s="2">
        <v>7</v>
      </c>
      <c r="E575" s="2" t="s">
        <v>2047</v>
      </c>
      <c r="F575" s="2" t="s">
        <v>2072</v>
      </c>
    </row>
    <row r="576" spans="1:6" x14ac:dyDescent="0.3">
      <c r="A576" s="3">
        <v>46232</v>
      </c>
      <c r="B576" s="2">
        <v>2026</v>
      </c>
      <c r="C576" s="2" t="s">
        <v>2046</v>
      </c>
      <c r="D576" s="2">
        <v>7</v>
      </c>
      <c r="E576" s="2" t="s">
        <v>2047</v>
      </c>
      <c r="F576" s="2" t="s">
        <v>2072</v>
      </c>
    </row>
    <row r="577" spans="1:6" x14ac:dyDescent="0.3">
      <c r="A577" s="3">
        <v>46233</v>
      </c>
      <c r="B577" s="2">
        <v>2026</v>
      </c>
      <c r="C577" s="2" t="s">
        <v>2046</v>
      </c>
      <c r="D577" s="2">
        <v>7</v>
      </c>
      <c r="E577" s="2" t="s">
        <v>2047</v>
      </c>
      <c r="F577" s="2" t="s">
        <v>2072</v>
      </c>
    </row>
    <row r="578" spans="1:6" x14ac:dyDescent="0.3">
      <c r="A578" s="3">
        <v>46234</v>
      </c>
      <c r="B578" s="2">
        <v>2026</v>
      </c>
      <c r="C578" s="2" t="s">
        <v>2046</v>
      </c>
      <c r="D578" s="2">
        <v>7</v>
      </c>
      <c r="E578" s="2" t="s">
        <v>2047</v>
      </c>
      <c r="F578" s="2" t="s">
        <v>2072</v>
      </c>
    </row>
    <row r="579" spans="1:6" x14ac:dyDescent="0.3">
      <c r="A579" s="3">
        <v>46235</v>
      </c>
      <c r="B579" s="2">
        <v>2026</v>
      </c>
      <c r="C579" s="2" t="s">
        <v>2046</v>
      </c>
      <c r="D579" s="2">
        <v>8</v>
      </c>
      <c r="E579" s="2" t="s">
        <v>2048</v>
      </c>
      <c r="F579" s="2" t="s">
        <v>2073</v>
      </c>
    </row>
    <row r="580" spans="1:6" x14ac:dyDescent="0.3">
      <c r="A580" s="3">
        <v>46236</v>
      </c>
      <c r="B580" s="2">
        <v>2026</v>
      </c>
      <c r="C580" s="2" t="s">
        <v>2046</v>
      </c>
      <c r="D580" s="2">
        <v>8</v>
      </c>
      <c r="E580" s="2" t="s">
        <v>2048</v>
      </c>
      <c r="F580" s="2" t="s">
        <v>2073</v>
      </c>
    </row>
    <row r="581" spans="1:6" x14ac:dyDescent="0.3">
      <c r="A581" s="3">
        <v>46237</v>
      </c>
      <c r="B581" s="2">
        <v>2026</v>
      </c>
      <c r="C581" s="2" t="s">
        <v>2046</v>
      </c>
      <c r="D581" s="2">
        <v>8</v>
      </c>
      <c r="E581" s="2" t="s">
        <v>2048</v>
      </c>
      <c r="F581" s="2" t="s">
        <v>2073</v>
      </c>
    </row>
    <row r="582" spans="1:6" x14ac:dyDescent="0.3">
      <c r="A582" s="3">
        <v>46238</v>
      </c>
      <c r="B582" s="2">
        <v>2026</v>
      </c>
      <c r="C582" s="2" t="s">
        <v>2046</v>
      </c>
      <c r="D582" s="2">
        <v>8</v>
      </c>
      <c r="E582" s="2" t="s">
        <v>2048</v>
      </c>
      <c r="F582" s="2" t="s">
        <v>2073</v>
      </c>
    </row>
    <row r="583" spans="1:6" x14ac:dyDescent="0.3">
      <c r="A583" s="3">
        <v>46239</v>
      </c>
      <c r="B583" s="2">
        <v>2026</v>
      </c>
      <c r="C583" s="2" t="s">
        <v>2046</v>
      </c>
      <c r="D583" s="2">
        <v>8</v>
      </c>
      <c r="E583" s="2" t="s">
        <v>2048</v>
      </c>
      <c r="F583" s="2" t="s">
        <v>2073</v>
      </c>
    </row>
    <row r="584" spans="1:6" x14ac:dyDescent="0.3">
      <c r="A584" s="3">
        <v>46240</v>
      </c>
      <c r="B584" s="2">
        <v>2026</v>
      </c>
      <c r="C584" s="2" t="s">
        <v>2046</v>
      </c>
      <c r="D584" s="2">
        <v>8</v>
      </c>
      <c r="E584" s="2" t="s">
        <v>2048</v>
      </c>
      <c r="F584" s="2" t="s">
        <v>2073</v>
      </c>
    </row>
    <row r="585" spans="1:6" x14ac:dyDescent="0.3">
      <c r="A585" s="3">
        <v>46241</v>
      </c>
      <c r="B585" s="2">
        <v>2026</v>
      </c>
      <c r="C585" s="2" t="s">
        <v>2046</v>
      </c>
      <c r="D585" s="2">
        <v>8</v>
      </c>
      <c r="E585" s="2" t="s">
        <v>2048</v>
      </c>
      <c r="F585" s="2" t="s">
        <v>2073</v>
      </c>
    </row>
    <row r="586" spans="1:6" x14ac:dyDescent="0.3">
      <c r="A586" s="3">
        <v>46242</v>
      </c>
      <c r="B586" s="2">
        <v>2026</v>
      </c>
      <c r="C586" s="2" t="s">
        <v>2046</v>
      </c>
      <c r="D586" s="2">
        <v>8</v>
      </c>
      <c r="E586" s="2" t="s">
        <v>2048</v>
      </c>
      <c r="F586" s="2" t="s">
        <v>2073</v>
      </c>
    </row>
    <row r="587" spans="1:6" x14ac:dyDescent="0.3">
      <c r="A587" s="3">
        <v>46243</v>
      </c>
      <c r="B587" s="2">
        <v>2026</v>
      </c>
      <c r="C587" s="2" t="s">
        <v>2046</v>
      </c>
      <c r="D587" s="2">
        <v>8</v>
      </c>
      <c r="E587" s="2" t="s">
        <v>2048</v>
      </c>
      <c r="F587" s="2" t="s">
        <v>2073</v>
      </c>
    </row>
    <row r="588" spans="1:6" x14ac:dyDescent="0.3">
      <c r="A588" s="3">
        <v>46244</v>
      </c>
      <c r="B588" s="2">
        <v>2026</v>
      </c>
      <c r="C588" s="2" t="s">
        <v>2046</v>
      </c>
      <c r="D588" s="2">
        <v>8</v>
      </c>
      <c r="E588" s="2" t="s">
        <v>2048</v>
      </c>
      <c r="F588" s="2" t="s">
        <v>2073</v>
      </c>
    </row>
    <row r="589" spans="1:6" x14ac:dyDescent="0.3">
      <c r="A589" s="3">
        <v>46245</v>
      </c>
      <c r="B589" s="2">
        <v>2026</v>
      </c>
      <c r="C589" s="2" t="s">
        <v>2046</v>
      </c>
      <c r="D589" s="2">
        <v>8</v>
      </c>
      <c r="E589" s="2" t="s">
        <v>2048</v>
      </c>
      <c r="F589" s="2" t="s">
        <v>2073</v>
      </c>
    </row>
    <row r="590" spans="1:6" x14ac:dyDescent="0.3">
      <c r="A590" s="3">
        <v>46246</v>
      </c>
      <c r="B590" s="2">
        <v>2026</v>
      </c>
      <c r="C590" s="2" t="s">
        <v>2046</v>
      </c>
      <c r="D590" s="2">
        <v>8</v>
      </c>
      <c r="E590" s="2" t="s">
        <v>2048</v>
      </c>
      <c r="F590" s="2" t="s">
        <v>2073</v>
      </c>
    </row>
    <row r="591" spans="1:6" x14ac:dyDescent="0.3">
      <c r="A591" s="3">
        <v>46247</v>
      </c>
      <c r="B591" s="2">
        <v>2026</v>
      </c>
      <c r="C591" s="2" t="s">
        <v>2046</v>
      </c>
      <c r="D591" s="2">
        <v>8</v>
      </c>
      <c r="E591" s="2" t="s">
        <v>2048</v>
      </c>
      <c r="F591" s="2" t="s">
        <v>2073</v>
      </c>
    </row>
    <row r="592" spans="1:6" x14ac:dyDescent="0.3">
      <c r="A592" s="3">
        <v>46248</v>
      </c>
      <c r="B592" s="2">
        <v>2026</v>
      </c>
      <c r="C592" s="2" t="s">
        <v>2046</v>
      </c>
      <c r="D592" s="2">
        <v>8</v>
      </c>
      <c r="E592" s="2" t="s">
        <v>2048</v>
      </c>
      <c r="F592" s="2" t="s">
        <v>2073</v>
      </c>
    </row>
    <row r="593" spans="1:6" x14ac:dyDescent="0.3">
      <c r="A593" s="3">
        <v>46249</v>
      </c>
      <c r="B593" s="2">
        <v>2026</v>
      </c>
      <c r="C593" s="2" t="s">
        <v>2046</v>
      </c>
      <c r="D593" s="2">
        <v>8</v>
      </c>
      <c r="E593" s="2" t="s">
        <v>2048</v>
      </c>
      <c r="F593" s="2" t="s">
        <v>2073</v>
      </c>
    </row>
    <row r="594" spans="1:6" x14ac:dyDescent="0.3">
      <c r="A594" s="3">
        <v>46250</v>
      </c>
      <c r="B594" s="2">
        <v>2026</v>
      </c>
      <c r="C594" s="2" t="s">
        <v>2046</v>
      </c>
      <c r="D594" s="2">
        <v>8</v>
      </c>
      <c r="E594" s="2" t="s">
        <v>2048</v>
      </c>
      <c r="F594" s="2" t="s">
        <v>2073</v>
      </c>
    </row>
    <row r="595" spans="1:6" x14ac:dyDescent="0.3">
      <c r="A595" s="3">
        <v>46251</v>
      </c>
      <c r="B595" s="2">
        <v>2026</v>
      </c>
      <c r="C595" s="2" t="s">
        <v>2046</v>
      </c>
      <c r="D595" s="2">
        <v>8</v>
      </c>
      <c r="E595" s="2" t="s">
        <v>2048</v>
      </c>
      <c r="F595" s="2" t="s">
        <v>2073</v>
      </c>
    </row>
    <row r="596" spans="1:6" x14ac:dyDescent="0.3">
      <c r="A596" s="3">
        <v>46252</v>
      </c>
      <c r="B596" s="2">
        <v>2026</v>
      </c>
      <c r="C596" s="2" t="s">
        <v>2046</v>
      </c>
      <c r="D596" s="2">
        <v>8</v>
      </c>
      <c r="E596" s="2" t="s">
        <v>2048</v>
      </c>
      <c r="F596" s="2" t="s">
        <v>2073</v>
      </c>
    </row>
    <row r="597" spans="1:6" x14ac:dyDescent="0.3">
      <c r="A597" s="3">
        <v>46253</v>
      </c>
      <c r="B597" s="2">
        <v>2026</v>
      </c>
      <c r="C597" s="2" t="s">
        <v>2046</v>
      </c>
      <c r="D597" s="2">
        <v>8</v>
      </c>
      <c r="E597" s="2" t="s">
        <v>2048</v>
      </c>
      <c r="F597" s="2" t="s">
        <v>2073</v>
      </c>
    </row>
    <row r="598" spans="1:6" x14ac:dyDescent="0.3">
      <c r="A598" s="3">
        <v>46254</v>
      </c>
      <c r="B598" s="2">
        <v>2026</v>
      </c>
      <c r="C598" s="2" t="s">
        <v>2046</v>
      </c>
      <c r="D598" s="2">
        <v>8</v>
      </c>
      <c r="E598" s="2" t="s">
        <v>2048</v>
      </c>
      <c r="F598" s="2" t="s">
        <v>2073</v>
      </c>
    </row>
    <row r="599" spans="1:6" x14ac:dyDescent="0.3">
      <c r="A599" s="3">
        <v>46255</v>
      </c>
      <c r="B599" s="2">
        <v>2026</v>
      </c>
      <c r="C599" s="2" t="s">
        <v>2046</v>
      </c>
      <c r="D599" s="2">
        <v>8</v>
      </c>
      <c r="E599" s="2" t="s">
        <v>2048</v>
      </c>
      <c r="F599" s="2" t="s">
        <v>2073</v>
      </c>
    </row>
    <row r="600" spans="1:6" x14ac:dyDescent="0.3">
      <c r="A600" s="3">
        <v>46256</v>
      </c>
      <c r="B600" s="2">
        <v>2026</v>
      </c>
      <c r="C600" s="2" t="s">
        <v>2046</v>
      </c>
      <c r="D600" s="2">
        <v>8</v>
      </c>
      <c r="E600" s="2" t="s">
        <v>2048</v>
      </c>
      <c r="F600" s="2" t="s">
        <v>2073</v>
      </c>
    </row>
    <row r="601" spans="1:6" x14ac:dyDescent="0.3">
      <c r="A601" s="3">
        <v>46257</v>
      </c>
      <c r="B601" s="2">
        <v>2026</v>
      </c>
      <c r="C601" s="2" t="s">
        <v>2046</v>
      </c>
      <c r="D601" s="2">
        <v>8</v>
      </c>
      <c r="E601" s="2" t="s">
        <v>2048</v>
      </c>
      <c r="F601" s="2" t="s">
        <v>2073</v>
      </c>
    </row>
    <row r="602" spans="1:6" x14ac:dyDescent="0.3">
      <c r="A602" s="3">
        <v>46258</v>
      </c>
      <c r="B602" s="2">
        <v>2026</v>
      </c>
      <c r="C602" s="2" t="s">
        <v>2046</v>
      </c>
      <c r="D602" s="2">
        <v>8</v>
      </c>
      <c r="E602" s="2" t="s">
        <v>2048</v>
      </c>
      <c r="F602" s="2" t="s">
        <v>2073</v>
      </c>
    </row>
    <row r="603" spans="1:6" x14ac:dyDescent="0.3">
      <c r="A603" s="3">
        <v>46259</v>
      </c>
      <c r="B603" s="2">
        <v>2026</v>
      </c>
      <c r="C603" s="2" t="s">
        <v>2046</v>
      </c>
      <c r="D603" s="2">
        <v>8</v>
      </c>
      <c r="E603" s="2" t="s">
        <v>2048</v>
      </c>
      <c r="F603" s="2" t="s">
        <v>2073</v>
      </c>
    </row>
    <row r="604" spans="1:6" x14ac:dyDescent="0.3">
      <c r="A604" s="3">
        <v>46260</v>
      </c>
      <c r="B604" s="2">
        <v>2026</v>
      </c>
      <c r="C604" s="2" t="s">
        <v>2046</v>
      </c>
      <c r="D604" s="2">
        <v>8</v>
      </c>
      <c r="E604" s="2" t="s">
        <v>2048</v>
      </c>
      <c r="F604" s="2" t="s">
        <v>2073</v>
      </c>
    </row>
    <row r="605" spans="1:6" x14ac:dyDescent="0.3">
      <c r="A605" s="3">
        <v>46261</v>
      </c>
      <c r="B605" s="2">
        <v>2026</v>
      </c>
      <c r="C605" s="2" t="s">
        <v>2046</v>
      </c>
      <c r="D605" s="2">
        <v>8</v>
      </c>
      <c r="E605" s="2" t="s">
        <v>2048</v>
      </c>
      <c r="F605" s="2" t="s">
        <v>2073</v>
      </c>
    </row>
    <row r="606" spans="1:6" x14ac:dyDescent="0.3">
      <c r="A606" s="3">
        <v>46262</v>
      </c>
      <c r="B606" s="2">
        <v>2026</v>
      </c>
      <c r="C606" s="2" t="s">
        <v>2046</v>
      </c>
      <c r="D606" s="2">
        <v>8</v>
      </c>
      <c r="E606" s="2" t="s">
        <v>2048</v>
      </c>
      <c r="F606" s="2" t="s">
        <v>2073</v>
      </c>
    </row>
    <row r="607" spans="1:6" x14ac:dyDescent="0.3">
      <c r="A607" s="3">
        <v>46263</v>
      </c>
      <c r="B607" s="2">
        <v>2026</v>
      </c>
      <c r="C607" s="2" t="s">
        <v>2046</v>
      </c>
      <c r="D607" s="2">
        <v>8</v>
      </c>
      <c r="E607" s="2" t="s">
        <v>2048</v>
      </c>
      <c r="F607" s="2" t="s">
        <v>2073</v>
      </c>
    </row>
    <row r="608" spans="1:6" x14ac:dyDescent="0.3">
      <c r="A608" s="3">
        <v>46264</v>
      </c>
      <c r="B608" s="2">
        <v>2026</v>
      </c>
      <c r="C608" s="2" t="s">
        <v>2046</v>
      </c>
      <c r="D608" s="2">
        <v>8</v>
      </c>
      <c r="E608" s="2" t="s">
        <v>2048</v>
      </c>
      <c r="F608" s="2" t="s">
        <v>2073</v>
      </c>
    </row>
    <row r="609" spans="1:6" x14ac:dyDescent="0.3">
      <c r="A609" s="3">
        <v>46265</v>
      </c>
      <c r="B609" s="2">
        <v>2026</v>
      </c>
      <c r="C609" s="2" t="s">
        <v>2046</v>
      </c>
      <c r="D609" s="2">
        <v>8</v>
      </c>
      <c r="E609" s="2" t="s">
        <v>2048</v>
      </c>
      <c r="F609" s="2" t="s">
        <v>2073</v>
      </c>
    </row>
    <row r="610" spans="1:6" x14ac:dyDescent="0.3">
      <c r="A610" s="3">
        <v>46266</v>
      </c>
      <c r="B610" s="2">
        <v>2026</v>
      </c>
      <c r="C610" s="2" t="s">
        <v>2046</v>
      </c>
      <c r="D610" s="2">
        <v>9</v>
      </c>
      <c r="E610" s="2" t="s">
        <v>2049</v>
      </c>
      <c r="F610" s="2" t="s">
        <v>2074</v>
      </c>
    </row>
    <row r="611" spans="1:6" x14ac:dyDescent="0.3">
      <c r="A611" s="3">
        <v>46267</v>
      </c>
      <c r="B611" s="2">
        <v>2026</v>
      </c>
      <c r="C611" s="2" t="s">
        <v>2046</v>
      </c>
      <c r="D611" s="2">
        <v>9</v>
      </c>
      <c r="E611" s="2" t="s">
        <v>2049</v>
      </c>
      <c r="F611" s="2" t="s">
        <v>2074</v>
      </c>
    </row>
    <row r="612" spans="1:6" x14ac:dyDescent="0.3">
      <c r="A612" s="3">
        <v>46268</v>
      </c>
      <c r="B612" s="2">
        <v>2026</v>
      </c>
      <c r="C612" s="2" t="s">
        <v>2046</v>
      </c>
      <c r="D612" s="2">
        <v>9</v>
      </c>
      <c r="E612" s="2" t="s">
        <v>2049</v>
      </c>
      <c r="F612" s="2" t="s">
        <v>2074</v>
      </c>
    </row>
    <row r="613" spans="1:6" x14ac:dyDescent="0.3">
      <c r="A613" s="3">
        <v>46269</v>
      </c>
      <c r="B613" s="2">
        <v>2026</v>
      </c>
      <c r="C613" s="2" t="s">
        <v>2046</v>
      </c>
      <c r="D613" s="2">
        <v>9</v>
      </c>
      <c r="E613" s="2" t="s">
        <v>2049</v>
      </c>
      <c r="F613" s="2" t="s">
        <v>2074</v>
      </c>
    </row>
    <row r="614" spans="1:6" x14ac:dyDescent="0.3">
      <c r="A614" s="3">
        <v>46270</v>
      </c>
      <c r="B614" s="2">
        <v>2026</v>
      </c>
      <c r="C614" s="2" t="s">
        <v>2046</v>
      </c>
      <c r="D614" s="2">
        <v>9</v>
      </c>
      <c r="E614" s="2" t="s">
        <v>2049</v>
      </c>
      <c r="F614" s="2" t="s">
        <v>2074</v>
      </c>
    </row>
    <row r="615" spans="1:6" x14ac:dyDescent="0.3">
      <c r="A615" s="3">
        <v>46271</v>
      </c>
      <c r="B615" s="2">
        <v>2026</v>
      </c>
      <c r="C615" s="2" t="s">
        <v>2046</v>
      </c>
      <c r="D615" s="2">
        <v>9</v>
      </c>
      <c r="E615" s="2" t="s">
        <v>2049</v>
      </c>
      <c r="F615" s="2" t="s">
        <v>2074</v>
      </c>
    </row>
    <row r="616" spans="1:6" x14ac:dyDescent="0.3">
      <c r="A616" s="3">
        <v>46272</v>
      </c>
      <c r="B616" s="2">
        <v>2026</v>
      </c>
      <c r="C616" s="2" t="s">
        <v>2046</v>
      </c>
      <c r="D616" s="2">
        <v>9</v>
      </c>
      <c r="E616" s="2" t="s">
        <v>2049</v>
      </c>
      <c r="F616" s="2" t="s">
        <v>2074</v>
      </c>
    </row>
    <row r="617" spans="1:6" x14ac:dyDescent="0.3">
      <c r="A617" s="3">
        <v>46273</v>
      </c>
      <c r="B617" s="2">
        <v>2026</v>
      </c>
      <c r="C617" s="2" t="s">
        <v>2046</v>
      </c>
      <c r="D617" s="2">
        <v>9</v>
      </c>
      <c r="E617" s="2" t="s">
        <v>2049</v>
      </c>
      <c r="F617" s="2" t="s">
        <v>2074</v>
      </c>
    </row>
    <row r="618" spans="1:6" x14ac:dyDescent="0.3">
      <c r="A618" s="3">
        <v>46274</v>
      </c>
      <c r="B618" s="2">
        <v>2026</v>
      </c>
      <c r="C618" s="2" t="s">
        <v>2046</v>
      </c>
      <c r="D618" s="2">
        <v>9</v>
      </c>
      <c r="E618" s="2" t="s">
        <v>2049</v>
      </c>
      <c r="F618" s="2" t="s">
        <v>2074</v>
      </c>
    </row>
    <row r="619" spans="1:6" x14ac:dyDescent="0.3">
      <c r="A619" s="3">
        <v>46275</v>
      </c>
      <c r="B619" s="2">
        <v>2026</v>
      </c>
      <c r="C619" s="2" t="s">
        <v>2046</v>
      </c>
      <c r="D619" s="2">
        <v>9</v>
      </c>
      <c r="E619" s="2" t="s">
        <v>2049</v>
      </c>
      <c r="F619" s="2" t="s">
        <v>2074</v>
      </c>
    </row>
    <row r="620" spans="1:6" x14ac:dyDescent="0.3">
      <c r="A620" s="3">
        <v>46276</v>
      </c>
      <c r="B620" s="2">
        <v>2026</v>
      </c>
      <c r="C620" s="2" t="s">
        <v>2046</v>
      </c>
      <c r="D620" s="2">
        <v>9</v>
      </c>
      <c r="E620" s="2" t="s">
        <v>2049</v>
      </c>
      <c r="F620" s="2" t="s">
        <v>2074</v>
      </c>
    </row>
    <row r="621" spans="1:6" x14ac:dyDescent="0.3">
      <c r="A621" s="3">
        <v>46277</v>
      </c>
      <c r="B621" s="2">
        <v>2026</v>
      </c>
      <c r="C621" s="2" t="s">
        <v>2046</v>
      </c>
      <c r="D621" s="2">
        <v>9</v>
      </c>
      <c r="E621" s="2" t="s">
        <v>2049</v>
      </c>
      <c r="F621" s="2" t="s">
        <v>2074</v>
      </c>
    </row>
    <row r="622" spans="1:6" x14ac:dyDescent="0.3">
      <c r="A622" s="3">
        <v>46278</v>
      </c>
      <c r="B622" s="2">
        <v>2026</v>
      </c>
      <c r="C622" s="2" t="s">
        <v>2046</v>
      </c>
      <c r="D622" s="2">
        <v>9</v>
      </c>
      <c r="E622" s="2" t="s">
        <v>2049</v>
      </c>
      <c r="F622" s="2" t="s">
        <v>2074</v>
      </c>
    </row>
    <row r="623" spans="1:6" x14ac:dyDescent="0.3">
      <c r="A623" s="3">
        <v>46279</v>
      </c>
      <c r="B623" s="2">
        <v>2026</v>
      </c>
      <c r="C623" s="2" t="s">
        <v>2046</v>
      </c>
      <c r="D623" s="2">
        <v>9</v>
      </c>
      <c r="E623" s="2" t="s">
        <v>2049</v>
      </c>
      <c r="F623" s="2" t="s">
        <v>2074</v>
      </c>
    </row>
    <row r="624" spans="1:6" x14ac:dyDescent="0.3">
      <c r="A624" s="3">
        <v>46280</v>
      </c>
      <c r="B624" s="2">
        <v>2026</v>
      </c>
      <c r="C624" s="2" t="s">
        <v>2046</v>
      </c>
      <c r="D624" s="2">
        <v>9</v>
      </c>
      <c r="E624" s="2" t="s">
        <v>2049</v>
      </c>
      <c r="F624" s="2" t="s">
        <v>2074</v>
      </c>
    </row>
    <row r="625" spans="1:6" x14ac:dyDescent="0.3">
      <c r="A625" s="3">
        <v>46281</v>
      </c>
      <c r="B625" s="2">
        <v>2026</v>
      </c>
      <c r="C625" s="2" t="s">
        <v>2046</v>
      </c>
      <c r="D625" s="2">
        <v>9</v>
      </c>
      <c r="E625" s="2" t="s">
        <v>2049</v>
      </c>
      <c r="F625" s="2" t="s">
        <v>2074</v>
      </c>
    </row>
    <row r="626" spans="1:6" x14ac:dyDescent="0.3">
      <c r="A626" s="3">
        <v>46282</v>
      </c>
      <c r="B626" s="2">
        <v>2026</v>
      </c>
      <c r="C626" s="2" t="s">
        <v>2046</v>
      </c>
      <c r="D626" s="2">
        <v>9</v>
      </c>
      <c r="E626" s="2" t="s">
        <v>2049</v>
      </c>
      <c r="F626" s="2" t="s">
        <v>2074</v>
      </c>
    </row>
    <row r="627" spans="1:6" x14ac:dyDescent="0.3">
      <c r="A627" s="3">
        <v>46283</v>
      </c>
      <c r="B627" s="2">
        <v>2026</v>
      </c>
      <c r="C627" s="2" t="s">
        <v>2046</v>
      </c>
      <c r="D627" s="2">
        <v>9</v>
      </c>
      <c r="E627" s="2" t="s">
        <v>2049</v>
      </c>
      <c r="F627" s="2" t="s">
        <v>2074</v>
      </c>
    </row>
    <row r="628" spans="1:6" x14ac:dyDescent="0.3">
      <c r="A628" s="3">
        <v>46284</v>
      </c>
      <c r="B628" s="2">
        <v>2026</v>
      </c>
      <c r="C628" s="2" t="s">
        <v>2046</v>
      </c>
      <c r="D628" s="2">
        <v>9</v>
      </c>
      <c r="E628" s="2" t="s">
        <v>2049</v>
      </c>
      <c r="F628" s="2" t="s">
        <v>2074</v>
      </c>
    </row>
    <row r="629" spans="1:6" x14ac:dyDescent="0.3">
      <c r="A629" s="3">
        <v>46285</v>
      </c>
      <c r="B629" s="2">
        <v>2026</v>
      </c>
      <c r="C629" s="2" t="s">
        <v>2046</v>
      </c>
      <c r="D629" s="2">
        <v>9</v>
      </c>
      <c r="E629" s="2" t="s">
        <v>2049</v>
      </c>
      <c r="F629" s="2" t="s">
        <v>2074</v>
      </c>
    </row>
    <row r="630" spans="1:6" x14ac:dyDescent="0.3">
      <c r="A630" s="3">
        <v>46286</v>
      </c>
      <c r="B630" s="2">
        <v>2026</v>
      </c>
      <c r="C630" s="2" t="s">
        <v>2046</v>
      </c>
      <c r="D630" s="2">
        <v>9</v>
      </c>
      <c r="E630" s="2" t="s">
        <v>2049</v>
      </c>
      <c r="F630" s="2" t="s">
        <v>2074</v>
      </c>
    </row>
    <row r="631" spans="1:6" x14ac:dyDescent="0.3">
      <c r="A631" s="3">
        <v>46287</v>
      </c>
      <c r="B631" s="2">
        <v>2026</v>
      </c>
      <c r="C631" s="2" t="s">
        <v>2046</v>
      </c>
      <c r="D631" s="2">
        <v>9</v>
      </c>
      <c r="E631" s="2" t="s">
        <v>2049</v>
      </c>
      <c r="F631" s="2" t="s">
        <v>2074</v>
      </c>
    </row>
    <row r="632" spans="1:6" x14ac:dyDescent="0.3">
      <c r="A632" s="3">
        <v>46288</v>
      </c>
      <c r="B632" s="2">
        <v>2026</v>
      </c>
      <c r="C632" s="2" t="s">
        <v>2046</v>
      </c>
      <c r="D632" s="2">
        <v>9</v>
      </c>
      <c r="E632" s="2" t="s">
        <v>2049</v>
      </c>
      <c r="F632" s="2" t="s">
        <v>2074</v>
      </c>
    </row>
    <row r="633" spans="1:6" x14ac:dyDescent="0.3">
      <c r="A633" s="3">
        <v>46289</v>
      </c>
      <c r="B633" s="2">
        <v>2026</v>
      </c>
      <c r="C633" s="2" t="s">
        <v>2046</v>
      </c>
      <c r="D633" s="2">
        <v>9</v>
      </c>
      <c r="E633" s="2" t="s">
        <v>2049</v>
      </c>
      <c r="F633" s="2" t="s">
        <v>2074</v>
      </c>
    </row>
    <row r="634" spans="1:6" x14ac:dyDescent="0.3">
      <c r="A634" s="3">
        <v>46290</v>
      </c>
      <c r="B634" s="2">
        <v>2026</v>
      </c>
      <c r="C634" s="2" t="s">
        <v>2046</v>
      </c>
      <c r="D634" s="2">
        <v>9</v>
      </c>
      <c r="E634" s="2" t="s">
        <v>2049</v>
      </c>
      <c r="F634" s="2" t="s">
        <v>2074</v>
      </c>
    </row>
    <row r="635" spans="1:6" x14ac:dyDescent="0.3">
      <c r="A635" s="3">
        <v>46291</v>
      </c>
      <c r="B635" s="2">
        <v>2026</v>
      </c>
      <c r="C635" s="2" t="s">
        <v>2046</v>
      </c>
      <c r="D635" s="2">
        <v>9</v>
      </c>
      <c r="E635" s="2" t="s">
        <v>2049</v>
      </c>
      <c r="F635" s="2" t="s">
        <v>2074</v>
      </c>
    </row>
    <row r="636" spans="1:6" x14ac:dyDescent="0.3">
      <c r="A636" s="3">
        <v>46292</v>
      </c>
      <c r="B636" s="2">
        <v>2026</v>
      </c>
      <c r="C636" s="2" t="s">
        <v>2046</v>
      </c>
      <c r="D636" s="2">
        <v>9</v>
      </c>
      <c r="E636" s="2" t="s">
        <v>2049</v>
      </c>
      <c r="F636" s="2" t="s">
        <v>2074</v>
      </c>
    </row>
    <row r="637" spans="1:6" x14ac:dyDescent="0.3">
      <c r="A637" s="3">
        <v>46293</v>
      </c>
      <c r="B637" s="2">
        <v>2026</v>
      </c>
      <c r="C637" s="2" t="s">
        <v>2046</v>
      </c>
      <c r="D637" s="2">
        <v>9</v>
      </c>
      <c r="E637" s="2" t="s">
        <v>2049</v>
      </c>
      <c r="F637" s="2" t="s">
        <v>2074</v>
      </c>
    </row>
    <row r="638" spans="1:6" x14ac:dyDescent="0.3">
      <c r="A638" s="3">
        <v>46294</v>
      </c>
      <c r="B638" s="2">
        <v>2026</v>
      </c>
      <c r="C638" s="2" t="s">
        <v>2046</v>
      </c>
      <c r="D638" s="2">
        <v>9</v>
      </c>
      <c r="E638" s="2" t="s">
        <v>2049</v>
      </c>
      <c r="F638" s="2" t="s">
        <v>2074</v>
      </c>
    </row>
    <row r="639" spans="1:6" x14ac:dyDescent="0.3">
      <c r="A639" s="3">
        <v>46295</v>
      </c>
      <c r="B639" s="2">
        <v>2026</v>
      </c>
      <c r="C639" s="2" t="s">
        <v>2046</v>
      </c>
      <c r="D639" s="2">
        <v>9</v>
      </c>
      <c r="E639" s="2" t="s">
        <v>2049</v>
      </c>
      <c r="F639" s="2" t="s">
        <v>2074</v>
      </c>
    </row>
    <row r="640" spans="1:6" x14ac:dyDescent="0.3">
      <c r="A640" s="3">
        <v>46296</v>
      </c>
      <c r="B640" s="2">
        <v>2026</v>
      </c>
      <c r="C640" s="2" t="s">
        <v>2050</v>
      </c>
      <c r="D640" s="2">
        <v>10</v>
      </c>
      <c r="E640" s="2" t="s">
        <v>2051</v>
      </c>
      <c r="F640" s="2" t="s">
        <v>2075</v>
      </c>
    </row>
    <row r="641" spans="1:6" x14ac:dyDescent="0.3">
      <c r="A641" s="3">
        <v>46297</v>
      </c>
      <c r="B641" s="2">
        <v>2026</v>
      </c>
      <c r="C641" s="2" t="s">
        <v>2050</v>
      </c>
      <c r="D641" s="2">
        <v>10</v>
      </c>
      <c r="E641" s="2" t="s">
        <v>2051</v>
      </c>
      <c r="F641" s="2" t="s">
        <v>2075</v>
      </c>
    </row>
    <row r="642" spans="1:6" x14ac:dyDescent="0.3">
      <c r="A642" s="3">
        <v>46298</v>
      </c>
      <c r="B642" s="2">
        <v>2026</v>
      </c>
      <c r="C642" s="2" t="s">
        <v>2050</v>
      </c>
      <c r="D642" s="2">
        <v>10</v>
      </c>
      <c r="E642" s="2" t="s">
        <v>2051</v>
      </c>
      <c r="F642" s="2" t="s">
        <v>2075</v>
      </c>
    </row>
    <row r="643" spans="1:6" x14ac:dyDescent="0.3">
      <c r="A643" s="3">
        <v>46299</v>
      </c>
      <c r="B643" s="2">
        <v>2026</v>
      </c>
      <c r="C643" s="2" t="s">
        <v>2050</v>
      </c>
      <c r="D643" s="2">
        <v>10</v>
      </c>
      <c r="E643" s="2" t="s">
        <v>2051</v>
      </c>
      <c r="F643" s="2" t="s">
        <v>2075</v>
      </c>
    </row>
    <row r="644" spans="1:6" x14ac:dyDescent="0.3">
      <c r="A644" s="3">
        <v>46300</v>
      </c>
      <c r="B644" s="2">
        <v>2026</v>
      </c>
      <c r="C644" s="2" t="s">
        <v>2050</v>
      </c>
      <c r="D644" s="2">
        <v>10</v>
      </c>
      <c r="E644" s="2" t="s">
        <v>2051</v>
      </c>
      <c r="F644" s="2" t="s">
        <v>2075</v>
      </c>
    </row>
    <row r="645" spans="1:6" x14ac:dyDescent="0.3">
      <c r="A645" s="3">
        <v>46301</v>
      </c>
      <c r="B645" s="2">
        <v>2026</v>
      </c>
      <c r="C645" s="2" t="s">
        <v>2050</v>
      </c>
      <c r="D645" s="2">
        <v>10</v>
      </c>
      <c r="E645" s="2" t="s">
        <v>2051</v>
      </c>
      <c r="F645" s="2" t="s">
        <v>2075</v>
      </c>
    </row>
    <row r="646" spans="1:6" x14ac:dyDescent="0.3">
      <c r="A646" s="3">
        <v>46302</v>
      </c>
      <c r="B646" s="2">
        <v>2026</v>
      </c>
      <c r="C646" s="2" t="s">
        <v>2050</v>
      </c>
      <c r="D646" s="2">
        <v>10</v>
      </c>
      <c r="E646" s="2" t="s">
        <v>2051</v>
      </c>
      <c r="F646" s="2" t="s">
        <v>2075</v>
      </c>
    </row>
    <row r="647" spans="1:6" x14ac:dyDescent="0.3">
      <c r="A647" s="3">
        <v>46303</v>
      </c>
      <c r="B647" s="2">
        <v>2026</v>
      </c>
      <c r="C647" s="2" t="s">
        <v>2050</v>
      </c>
      <c r="D647" s="2">
        <v>10</v>
      </c>
      <c r="E647" s="2" t="s">
        <v>2051</v>
      </c>
      <c r="F647" s="2" t="s">
        <v>2075</v>
      </c>
    </row>
    <row r="648" spans="1:6" x14ac:dyDescent="0.3">
      <c r="A648" s="3">
        <v>46304</v>
      </c>
      <c r="B648" s="2">
        <v>2026</v>
      </c>
      <c r="C648" s="2" t="s">
        <v>2050</v>
      </c>
      <c r="D648" s="2">
        <v>10</v>
      </c>
      <c r="E648" s="2" t="s">
        <v>2051</v>
      </c>
      <c r="F648" s="2" t="s">
        <v>2075</v>
      </c>
    </row>
    <row r="649" spans="1:6" x14ac:dyDescent="0.3">
      <c r="A649" s="3">
        <v>46305</v>
      </c>
      <c r="B649" s="2">
        <v>2026</v>
      </c>
      <c r="C649" s="2" t="s">
        <v>2050</v>
      </c>
      <c r="D649" s="2">
        <v>10</v>
      </c>
      <c r="E649" s="2" t="s">
        <v>2051</v>
      </c>
      <c r="F649" s="2" t="s">
        <v>2075</v>
      </c>
    </row>
    <row r="650" spans="1:6" x14ac:dyDescent="0.3">
      <c r="A650" s="3">
        <v>46306</v>
      </c>
      <c r="B650" s="2">
        <v>2026</v>
      </c>
      <c r="C650" s="2" t="s">
        <v>2050</v>
      </c>
      <c r="D650" s="2">
        <v>10</v>
      </c>
      <c r="E650" s="2" t="s">
        <v>2051</v>
      </c>
      <c r="F650" s="2" t="s">
        <v>2075</v>
      </c>
    </row>
    <row r="651" spans="1:6" x14ac:dyDescent="0.3">
      <c r="A651" s="3">
        <v>46307</v>
      </c>
      <c r="B651" s="2">
        <v>2026</v>
      </c>
      <c r="C651" s="2" t="s">
        <v>2050</v>
      </c>
      <c r="D651" s="2">
        <v>10</v>
      </c>
      <c r="E651" s="2" t="s">
        <v>2051</v>
      </c>
      <c r="F651" s="2" t="s">
        <v>2075</v>
      </c>
    </row>
    <row r="652" spans="1:6" x14ac:dyDescent="0.3">
      <c r="A652" s="3">
        <v>46308</v>
      </c>
      <c r="B652" s="2">
        <v>2026</v>
      </c>
      <c r="C652" s="2" t="s">
        <v>2050</v>
      </c>
      <c r="D652" s="2">
        <v>10</v>
      </c>
      <c r="E652" s="2" t="s">
        <v>2051</v>
      </c>
      <c r="F652" s="2" t="s">
        <v>2075</v>
      </c>
    </row>
    <row r="653" spans="1:6" x14ac:dyDescent="0.3">
      <c r="A653" s="3">
        <v>46309</v>
      </c>
      <c r="B653" s="2">
        <v>2026</v>
      </c>
      <c r="C653" s="2" t="s">
        <v>2050</v>
      </c>
      <c r="D653" s="2">
        <v>10</v>
      </c>
      <c r="E653" s="2" t="s">
        <v>2051</v>
      </c>
      <c r="F653" s="2" t="s">
        <v>2075</v>
      </c>
    </row>
    <row r="654" spans="1:6" x14ac:dyDescent="0.3">
      <c r="A654" s="3">
        <v>46310</v>
      </c>
      <c r="B654" s="2">
        <v>2026</v>
      </c>
      <c r="C654" s="2" t="s">
        <v>2050</v>
      </c>
      <c r="D654" s="2">
        <v>10</v>
      </c>
      <c r="E654" s="2" t="s">
        <v>2051</v>
      </c>
      <c r="F654" s="2" t="s">
        <v>2075</v>
      </c>
    </row>
    <row r="655" spans="1:6" x14ac:dyDescent="0.3">
      <c r="A655" s="3">
        <v>46311</v>
      </c>
      <c r="B655" s="2">
        <v>2026</v>
      </c>
      <c r="C655" s="2" t="s">
        <v>2050</v>
      </c>
      <c r="D655" s="2">
        <v>10</v>
      </c>
      <c r="E655" s="2" t="s">
        <v>2051</v>
      </c>
      <c r="F655" s="2" t="s">
        <v>2075</v>
      </c>
    </row>
    <row r="656" spans="1:6" x14ac:dyDescent="0.3">
      <c r="A656" s="3">
        <v>46312</v>
      </c>
      <c r="B656" s="2">
        <v>2026</v>
      </c>
      <c r="C656" s="2" t="s">
        <v>2050</v>
      </c>
      <c r="D656" s="2">
        <v>10</v>
      </c>
      <c r="E656" s="2" t="s">
        <v>2051</v>
      </c>
      <c r="F656" s="2" t="s">
        <v>2075</v>
      </c>
    </row>
    <row r="657" spans="1:6" x14ac:dyDescent="0.3">
      <c r="A657" s="3">
        <v>46313</v>
      </c>
      <c r="B657" s="2">
        <v>2026</v>
      </c>
      <c r="C657" s="2" t="s">
        <v>2050</v>
      </c>
      <c r="D657" s="2">
        <v>10</v>
      </c>
      <c r="E657" s="2" t="s">
        <v>2051</v>
      </c>
      <c r="F657" s="2" t="s">
        <v>2075</v>
      </c>
    </row>
    <row r="658" spans="1:6" x14ac:dyDescent="0.3">
      <c r="A658" s="3">
        <v>46314</v>
      </c>
      <c r="B658" s="2">
        <v>2026</v>
      </c>
      <c r="C658" s="2" t="s">
        <v>2050</v>
      </c>
      <c r="D658" s="2">
        <v>10</v>
      </c>
      <c r="E658" s="2" t="s">
        <v>2051</v>
      </c>
      <c r="F658" s="2" t="s">
        <v>2075</v>
      </c>
    </row>
    <row r="659" spans="1:6" x14ac:dyDescent="0.3">
      <c r="A659" s="3">
        <v>46315</v>
      </c>
      <c r="B659" s="2">
        <v>2026</v>
      </c>
      <c r="C659" s="2" t="s">
        <v>2050</v>
      </c>
      <c r="D659" s="2">
        <v>10</v>
      </c>
      <c r="E659" s="2" t="s">
        <v>2051</v>
      </c>
      <c r="F659" s="2" t="s">
        <v>2075</v>
      </c>
    </row>
    <row r="660" spans="1:6" x14ac:dyDescent="0.3">
      <c r="A660" s="3">
        <v>46316</v>
      </c>
      <c r="B660" s="2">
        <v>2026</v>
      </c>
      <c r="C660" s="2" t="s">
        <v>2050</v>
      </c>
      <c r="D660" s="2">
        <v>10</v>
      </c>
      <c r="E660" s="2" t="s">
        <v>2051</v>
      </c>
      <c r="F660" s="2" t="s">
        <v>2075</v>
      </c>
    </row>
    <row r="661" spans="1:6" x14ac:dyDescent="0.3">
      <c r="A661" s="3">
        <v>46317</v>
      </c>
      <c r="B661" s="2">
        <v>2026</v>
      </c>
      <c r="C661" s="2" t="s">
        <v>2050</v>
      </c>
      <c r="D661" s="2">
        <v>10</v>
      </c>
      <c r="E661" s="2" t="s">
        <v>2051</v>
      </c>
      <c r="F661" s="2" t="s">
        <v>2075</v>
      </c>
    </row>
    <row r="662" spans="1:6" x14ac:dyDescent="0.3">
      <c r="A662" s="3">
        <v>46318</v>
      </c>
      <c r="B662" s="2">
        <v>2026</v>
      </c>
      <c r="C662" s="2" t="s">
        <v>2050</v>
      </c>
      <c r="D662" s="2">
        <v>10</v>
      </c>
      <c r="E662" s="2" t="s">
        <v>2051</v>
      </c>
      <c r="F662" s="2" t="s">
        <v>2075</v>
      </c>
    </row>
    <row r="663" spans="1:6" x14ac:dyDescent="0.3">
      <c r="A663" s="3">
        <v>46319</v>
      </c>
      <c r="B663" s="2">
        <v>2026</v>
      </c>
      <c r="C663" s="2" t="s">
        <v>2050</v>
      </c>
      <c r="D663" s="2">
        <v>10</v>
      </c>
      <c r="E663" s="2" t="s">
        <v>2051</v>
      </c>
      <c r="F663" s="2" t="s">
        <v>2075</v>
      </c>
    </row>
    <row r="664" spans="1:6" x14ac:dyDescent="0.3">
      <c r="A664" s="3">
        <v>46320</v>
      </c>
      <c r="B664" s="2">
        <v>2026</v>
      </c>
      <c r="C664" s="2" t="s">
        <v>2050</v>
      </c>
      <c r="D664" s="2">
        <v>10</v>
      </c>
      <c r="E664" s="2" t="s">
        <v>2051</v>
      </c>
      <c r="F664" s="2" t="s">
        <v>2075</v>
      </c>
    </row>
    <row r="665" spans="1:6" x14ac:dyDescent="0.3">
      <c r="A665" s="3">
        <v>46321</v>
      </c>
      <c r="B665" s="2">
        <v>2026</v>
      </c>
      <c r="C665" s="2" t="s">
        <v>2050</v>
      </c>
      <c r="D665" s="2">
        <v>10</v>
      </c>
      <c r="E665" s="2" t="s">
        <v>2051</v>
      </c>
      <c r="F665" s="2" t="s">
        <v>2075</v>
      </c>
    </row>
    <row r="666" spans="1:6" x14ac:dyDescent="0.3">
      <c r="A666" s="3">
        <v>46322</v>
      </c>
      <c r="B666" s="2">
        <v>2026</v>
      </c>
      <c r="C666" s="2" t="s">
        <v>2050</v>
      </c>
      <c r="D666" s="2">
        <v>10</v>
      </c>
      <c r="E666" s="2" t="s">
        <v>2051</v>
      </c>
      <c r="F666" s="2" t="s">
        <v>2075</v>
      </c>
    </row>
    <row r="667" spans="1:6" x14ac:dyDescent="0.3">
      <c r="A667" s="3">
        <v>46323</v>
      </c>
      <c r="B667" s="2">
        <v>2026</v>
      </c>
      <c r="C667" s="2" t="s">
        <v>2050</v>
      </c>
      <c r="D667" s="2">
        <v>10</v>
      </c>
      <c r="E667" s="2" t="s">
        <v>2051</v>
      </c>
      <c r="F667" s="2" t="s">
        <v>2075</v>
      </c>
    </row>
    <row r="668" spans="1:6" x14ac:dyDescent="0.3">
      <c r="A668" s="3">
        <v>46324</v>
      </c>
      <c r="B668" s="2">
        <v>2026</v>
      </c>
      <c r="C668" s="2" t="s">
        <v>2050</v>
      </c>
      <c r="D668" s="2">
        <v>10</v>
      </c>
      <c r="E668" s="2" t="s">
        <v>2051</v>
      </c>
      <c r="F668" s="2" t="s">
        <v>2075</v>
      </c>
    </row>
    <row r="669" spans="1:6" x14ac:dyDescent="0.3">
      <c r="A669" s="3">
        <v>46325</v>
      </c>
      <c r="B669" s="2">
        <v>2026</v>
      </c>
      <c r="C669" s="2" t="s">
        <v>2050</v>
      </c>
      <c r="D669" s="2">
        <v>10</v>
      </c>
      <c r="E669" s="2" t="s">
        <v>2051</v>
      </c>
      <c r="F669" s="2" t="s">
        <v>2075</v>
      </c>
    </row>
    <row r="670" spans="1:6" x14ac:dyDescent="0.3">
      <c r="A670" s="3">
        <v>46326</v>
      </c>
      <c r="B670" s="2">
        <v>2026</v>
      </c>
      <c r="C670" s="2" t="s">
        <v>2050</v>
      </c>
      <c r="D670" s="2">
        <v>10</v>
      </c>
      <c r="E670" s="2" t="s">
        <v>2051</v>
      </c>
      <c r="F670" s="2" t="s">
        <v>2075</v>
      </c>
    </row>
    <row r="671" spans="1:6" x14ac:dyDescent="0.3">
      <c r="A671" s="3">
        <v>46327</v>
      </c>
      <c r="B671" s="2">
        <v>2026</v>
      </c>
      <c r="C671" s="2" t="s">
        <v>2050</v>
      </c>
      <c r="D671" s="2">
        <v>11</v>
      </c>
      <c r="E671" s="2" t="s">
        <v>2052</v>
      </c>
      <c r="F671" s="2" t="s">
        <v>2076</v>
      </c>
    </row>
    <row r="672" spans="1:6" x14ac:dyDescent="0.3">
      <c r="A672" s="3">
        <v>46328</v>
      </c>
      <c r="B672" s="2">
        <v>2026</v>
      </c>
      <c r="C672" s="2" t="s">
        <v>2050</v>
      </c>
      <c r="D672" s="2">
        <v>11</v>
      </c>
      <c r="E672" s="2" t="s">
        <v>2052</v>
      </c>
      <c r="F672" s="2" t="s">
        <v>2076</v>
      </c>
    </row>
    <row r="673" spans="1:6" x14ac:dyDescent="0.3">
      <c r="A673" s="3">
        <v>46329</v>
      </c>
      <c r="B673" s="2">
        <v>2026</v>
      </c>
      <c r="C673" s="2" t="s">
        <v>2050</v>
      </c>
      <c r="D673" s="2">
        <v>11</v>
      </c>
      <c r="E673" s="2" t="s">
        <v>2052</v>
      </c>
      <c r="F673" s="2" t="s">
        <v>2076</v>
      </c>
    </row>
    <row r="674" spans="1:6" x14ac:dyDescent="0.3">
      <c r="A674" s="3">
        <v>46330</v>
      </c>
      <c r="B674" s="2">
        <v>2026</v>
      </c>
      <c r="C674" s="2" t="s">
        <v>2050</v>
      </c>
      <c r="D674" s="2">
        <v>11</v>
      </c>
      <c r="E674" s="2" t="s">
        <v>2052</v>
      </c>
      <c r="F674" s="2" t="s">
        <v>2076</v>
      </c>
    </row>
    <row r="675" spans="1:6" x14ac:dyDescent="0.3">
      <c r="A675" s="3">
        <v>46331</v>
      </c>
      <c r="B675" s="2">
        <v>2026</v>
      </c>
      <c r="C675" s="2" t="s">
        <v>2050</v>
      </c>
      <c r="D675" s="2">
        <v>11</v>
      </c>
      <c r="E675" s="2" t="s">
        <v>2052</v>
      </c>
      <c r="F675" s="2" t="s">
        <v>2076</v>
      </c>
    </row>
    <row r="676" spans="1:6" x14ac:dyDescent="0.3">
      <c r="A676" s="3">
        <v>46332</v>
      </c>
      <c r="B676" s="2">
        <v>2026</v>
      </c>
      <c r="C676" s="2" t="s">
        <v>2050</v>
      </c>
      <c r="D676" s="2">
        <v>11</v>
      </c>
      <c r="E676" s="2" t="s">
        <v>2052</v>
      </c>
      <c r="F676" s="2" t="s">
        <v>2076</v>
      </c>
    </row>
    <row r="677" spans="1:6" x14ac:dyDescent="0.3">
      <c r="A677" s="3">
        <v>46333</v>
      </c>
      <c r="B677" s="2">
        <v>2026</v>
      </c>
      <c r="C677" s="2" t="s">
        <v>2050</v>
      </c>
      <c r="D677" s="2">
        <v>11</v>
      </c>
      <c r="E677" s="2" t="s">
        <v>2052</v>
      </c>
      <c r="F677" s="2" t="s">
        <v>2076</v>
      </c>
    </row>
    <row r="678" spans="1:6" x14ac:dyDescent="0.3">
      <c r="A678" s="3">
        <v>46334</v>
      </c>
      <c r="B678" s="2">
        <v>2026</v>
      </c>
      <c r="C678" s="2" t="s">
        <v>2050</v>
      </c>
      <c r="D678" s="2">
        <v>11</v>
      </c>
      <c r="E678" s="2" t="s">
        <v>2052</v>
      </c>
      <c r="F678" s="2" t="s">
        <v>2076</v>
      </c>
    </row>
    <row r="679" spans="1:6" x14ac:dyDescent="0.3">
      <c r="A679" s="3">
        <v>46335</v>
      </c>
      <c r="B679" s="2">
        <v>2026</v>
      </c>
      <c r="C679" s="2" t="s">
        <v>2050</v>
      </c>
      <c r="D679" s="2">
        <v>11</v>
      </c>
      <c r="E679" s="2" t="s">
        <v>2052</v>
      </c>
      <c r="F679" s="2" t="s">
        <v>2076</v>
      </c>
    </row>
    <row r="680" spans="1:6" x14ac:dyDescent="0.3">
      <c r="A680" s="3">
        <v>46336</v>
      </c>
      <c r="B680" s="2">
        <v>2026</v>
      </c>
      <c r="C680" s="2" t="s">
        <v>2050</v>
      </c>
      <c r="D680" s="2">
        <v>11</v>
      </c>
      <c r="E680" s="2" t="s">
        <v>2052</v>
      </c>
      <c r="F680" s="2" t="s">
        <v>2076</v>
      </c>
    </row>
    <row r="681" spans="1:6" x14ac:dyDescent="0.3">
      <c r="A681" s="3">
        <v>46337</v>
      </c>
      <c r="B681" s="2">
        <v>2026</v>
      </c>
      <c r="C681" s="2" t="s">
        <v>2050</v>
      </c>
      <c r="D681" s="2">
        <v>11</v>
      </c>
      <c r="E681" s="2" t="s">
        <v>2052</v>
      </c>
      <c r="F681" s="2" t="s">
        <v>2076</v>
      </c>
    </row>
    <row r="682" spans="1:6" x14ac:dyDescent="0.3">
      <c r="A682" s="3">
        <v>46338</v>
      </c>
      <c r="B682" s="2">
        <v>2026</v>
      </c>
      <c r="C682" s="2" t="s">
        <v>2050</v>
      </c>
      <c r="D682" s="2">
        <v>11</v>
      </c>
      <c r="E682" s="2" t="s">
        <v>2052</v>
      </c>
      <c r="F682" s="2" t="s">
        <v>2076</v>
      </c>
    </row>
    <row r="683" spans="1:6" x14ac:dyDescent="0.3">
      <c r="A683" s="3">
        <v>46339</v>
      </c>
      <c r="B683" s="2">
        <v>2026</v>
      </c>
      <c r="C683" s="2" t="s">
        <v>2050</v>
      </c>
      <c r="D683" s="2">
        <v>11</v>
      </c>
      <c r="E683" s="2" t="s">
        <v>2052</v>
      </c>
      <c r="F683" s="2" t="s">
        <v>2076</v>
      </c>
    </row>
    <row r="684" spans="1:6" x14ac:dyDescent="0.3">
      <c r="A684" s="3">
        <v>46340</v>
      </c>
      <c r="B684" s="2">
        <v>2026</v>
      </c>
      <c r="C684" s="2" t="s">
        <v>2050</v>
      </c>
      <c r="D684" s="2">
        <v>11</v>
      </c>
      <c r="E684" s="2" t="s">
        <v>2052</v>
      </c>
      <c r="F684" s="2" t="s">
        <v>2076</v>
      </c>
    </row>
    <row r="685" spans="1:6" x14ac:dyDescent="0.3">
      <c r="A685" s="3">
        <v>46341</v>
      </c>
      <c r="B685" s="2">
        <v>2026</v>
      </c>
      <c r="C685" s="2" t="s">
        <v>2050</v>
      </c>
      <c r="D685" s="2">
        <v>11</v>
      </c>
      <c r="E685" s="2" t="s">
        <v>2052</v>
      </c>
      <c r="F685" s="2" t="s">
        <v>2076</v>
      </c>
    </row>
    <row r="686" spans="1:6" x14ac:dyDescent="0.3">
      <c r="A686" s="3">
        <v>46342</v>
      </c>
      <c r="B686" s="2">
        <v>2026</v>
      </c>
      <c r="C686" s="2" t="s">
        <v>2050</v>
      </c>
      <c r="D686" s="2">
        <v>11</v>
      </c>
      <c r="E686" s="2" t="s">
        <v>2052</v>
      </c>
      <c r="F686" s="2" t="s">
        <v>2076</v>
      </c>
    </row>
    <row r="687" spans="1:6" x14ac:dyDescent="0.3">
      <c r="A687" s="3">
        <v>46343</v>
      </c>
      <c r="B687" s="2">
        <v>2026</v>
      </c>
      <c r="C687" s="2" t="s">
        <v>2050</v>
      </c>
      <c r="D687" s="2">
        <v>11</v>
      </c>
      <c r="E687" s="2" t="s">
        <v>2052</v>
      </c>
      <c r="F687" s="2" t="s">
        <v>2076</v>
      </c>
    </row>
    <row r="688" spans="1:6" x14ac:dyDescent="0.3">
      <c r="A688" s="3">
        <v>46344</v>
      </c>
      <c r="B688" s="2">
        <v>2026</v>
      </c>
      <c r="C688" s="2" t="s">
        <v>2050</v>
      </c>
      <c r="D688" s="2">
        <v>11</v>
      </c>
      <c r="E688" s="2" t="s">
        <v>2052</v>
      </c>
      <c r="F688" s="2" t="s">
        <v>2076</v>
      </c>
    </row>
    <row r="689" spans="1:6" x14ac:dyDescent="0.3">
      <c r="A689" s="3">
        <v>46345</v>
      </c>
      <c r="B689" s="2">
        <v>2026</v>
      </c>
      <c r="C689" s="2" t="s">
        <v>2050</v>
      </c>
      <c r="D689" s="2">
        <v>11</v>
      </c>
      <c r="E689" s="2" t="s">
        <v>2052</v>
      </c>
      <c r="F689" s="2" t="s">
        <v>2076</v>
      </c>
    </row>
    <row r="690" spans="1:6" x14ac:dyDescent="0.3">
      <c r="A690" s="3">
        <v>46346</v>
      </c>
      <c r="B690" s="2">
        <v>2026</v>
      </c>
      <c r="C690" s="2" t="s">
        <v>2050</v>
      </c>
      <c r="D690" s="2">
        <v>11</v>
      </c>
      <c r="E690" s="2" t="s">
        <v>2052</v>
      </c>
      <c r="F690" s="2" t="s">
        <v>2076</v>
      </c>
    </row>
    <row r="691" spans="1:6" x14ac:dyDescent="0.3">
      <c r="A691" s="3">
        <v>46347</v>
      </c>
      <c r="B691" s="2">
        <v>2026</v>
      </c>
      <c r="C691" s="2" t="s">
        <v>2050</v>
      </c>
      <c r="D691" s="2">
        <v>11</v>
      </c>
      <c r="E691" s="2" t="s">
        <v>2052</v>
      </c>
      <c r="F691" s="2" t="s">
        <v>2076</v>
      </c>
    </row>
    <row r="692" spans="1:6" x14ac:dyDescent="0.3">
      <c r="A692" s="3">
        <v>46348</v>
      </c>
      <c r="B692" s="2">
        <v>2026</v>
      </c>
      <c r="C692" s="2" t="s">
        <v>2050</v>
      </c>
      <c r="D692" s="2">
        <v>11</v>
      </c>
      <c r="E692" s="2" t="s">
        <v>2052</v>
      </c>
      <c r="F692" s="2" t="s">
        <v>2076</v>
      </c>
    </row>
    <row r="693" spans="1:6" x14ac:dyDescent="0.3">
      <c r="A693" s="3">
        <v>46349</v>
      </c>
      <c r="B693" s="2">
        <v>2026</v>
      </c>
      <c r="C693" s="2" t="s">
        <v>2050</v>
      </c>
      <c r="D693" s="2">
        <v>11</v>
      </c>
      <c r="E693" s="2" t="s">
        <v>2052</v>
      </c>
      <c r="F693" s="2" t="s">
        <v>2076</v>
      </c>
    </row>
    <row r="694" spans="1:6" x14ac:dyDescent="0.3">
      <c r="A694" s="3">
        <v>46350</v>
      </c>
      <c r="B694" s="2">
        <v>2026</v>
      </c>
      <c r="C694" s="2" t="s">
        <v>2050</v>
      </c>
      <c r="D694" s="2">
        <v>11</v>
      </c>
      <c r="E694" s="2" t="s">
        <v>2052</v>
      </c>
      <c r="F694" s="2" t="s">
        <v>2076</v>
      </c>
    </row>
    <row r="695" spans="1:6" x14ac:dyDescent="0.3">
      <c r="A695" s="3">
        <v>46351</v>
      </c>
      <c r="B695" s="2">
        <v>2026</v>
      </c>
      <c r="C695" s="2" t="s">
        <v>2050</v>
      </c>
      <c r="D695" s="2">
        <v>11</v>
      </c>
      <c r="E695" s="2" t="s">
        <v>2052</v>
      </c>
      <c r="F695" s="2" t="s">
        <v>2076</v>
      </c>
    </row>
    <row r="696" spans="1:6" x14ac:dyDescent="0.3">
      <c r="A696" s="3">
        <v>46352</v>
      </c>
      <c r="B696" s="2">
        <v>2026</v>
      </c>
      <c r="C696" s="2" t="s">
        <v>2050</v>
      </c>
      <c r="D696" s="2">
        <v>11</v>
      </c>
      <c r="E696" s="2" t="s">
        <v>2052</v>
      </c>
      <c r="F696" s="2" t="s">
        <v>2076</v>
      </c>
    </row>
    <row r="697" spans="1:6" x14ac:dyDescent="0.3">
      <c r="A697" s="12"/>
      <c r="B697" s="2"/>
      <c r="C697" s="2"/>
      <c r="D697" s="2"/>
      <c r="E697" s="2"/>
      <c r="F697" s="2"/>
    </row>
    <row r="698" spans="1:6" x14ac:dyDescent="0.3">
      <c r="A698" s="12"/>
      <c r="B698" s="2"/>
      <c r="C698" s="2"/>
      <c r="D698" s="2"/>
      <c r="E698" s="2"/>
      <c r="F698" s="2"/>
    </row>
    <row r="699" spans="1:6" x14ac:dyDescent="0.3">
      <c r="A699" s="12"/>
      <c r="B699" s="2"/>
      <c r="C699" s="2"/>
      <c r="D699" s="2"/>
      <c r="E699" s="2"/>
      <c r="F699" s="2"/>
    </row>
    <row r="700" spans="1:6" x14ac:dyDescent="0.3">
      <c r="A700" s="12"/>
      <c r="B700" s="2"/>
      <c r="C700" s="2"/>
      <c r="D700" s="2"/>
      <c r="E700" s="2"/>
      <c r="F700" s="2"/>
    </row>
    <row r="701" spans="1:6" x14ac:dyDescent="0.3">
      <c r="A701" s="12"/>
      <c r="B701" s="2"/>
      <c r="C701" s="2"/>
      <c r="D701" s="2"/>
      <c r="E701" s="2"/>
      <c r="F701" s="2"/>
    </row>
    <row r="702" spans="1:6" x14ac:dyDescent="0.3">
      <c r="A702" s="12"/>
      <c r="B702" s="2"/>
      <c r="C702" s="2"/>
      <c r="D702" s="2"/>
      <c r="E702" s="2"/>
      <c r="F702" s="2"/>
    </row>
    <row r="703" spans="1:6" x14ac:dyDescent="0.3">
      <c r="A703" s="12"/>
      <c r="B703" s="2"/>
      <c r="C703" s="2"/>
      <c r="D703" s="2"/>
      <c r="E703" s="2"/>
      <c r="F703" s="2"/>
    </row>
    <row r="704" spans="1:6" x14ac:dyDescent="0.3">
      <c r="A704" s="12"/>
      <c r="B704" s="2"/>
      <c r="C704" s="2"/>
      <c r="D704" s="2"/>
      <c r="E704" s="2"/>
      <c r="F704" s="2"/>
    </row>
    <row r="705" spans="1:6" x14ac:dyDescent="0.3">
      <c r="A705" s="12"/>
      <c r="B705" s="2"/>
      <c r="C705" s="2"/>
      <c r="D705" s="2"/>
      <c r="E705" s="2"/>
      <c r="F705" s="2"/>
    </row>
    <row r="706" spans="1:6" x14ac:dyDescent="0.3">
      <c r="A706" s="12"/>
      <c r="B706" s="2"/>
      <c r="C706" s="2"/>
      <c r="D706" s="2"/>
      <c r="E706" s="2"/>
      <c r="F706" s="2"/>
    </row>
    <row r="707" spans="1:6" x14ac:dyDescent="0.3">
      <c r="A707" s="12"/>
      <c r="B707" s="2"/>
      <c r="C707" s="2"/>
      <c r="D707" s="2"/>
      <c r="E707" s="2"/>
      <c r="F707" s="2"/>
    </row>
    <row r="708" spans="1:6" x14ac:dyDescent="0.3">
      <c r="A708" s="12"/>
      <c r="B708" s="2"/>
      <c r="C708" s="2"/>
      <c r="D708" s="2"/>
      <c r="E708" s="2"/>
      <c r="F708" s="2"/>
    </row>
    <row r="709" spans="1:6" x14ac:dyDescent="0.3">
      <c r="A709" s="12"/>
      <c r="B709" s="2"/>
      <c r="C709" s="2"/>
      <c r="D709" s="2"/>
      <c r="E709" s="2"/>
      <c r="F709" s="2"/>
    </row>
    <row r="710" spans="1:6" x14ac:dyDescent="0.3">
      <c r="A710" s="12"/>
      <c r="B710" s="2"/>
      <c r="C710" s="2"/>
      <c r="D710" s="2"/>
      <c r="E710" s="2"/>
      <c r="F710" s="2"/>
    </row>
    <row r="711" spans="1:6" x14ac:dyDescent="0.3">
      <c r="A711" s="12"/>
      <c r="B711" s="2"/>
      <c r="C711" s="2"/>
      <c r="D711" s="2"/>
      <c r="E711" s="2"/>
      <c r="F711" s="2"/>
    </row>
    <row r="712" spans="1:6" x14ac:dyDescent="0.3">
      <c r="A712" s="12"/>
      <c r="B712" s="2"/>
      <c r="C712" s="2"/>
      <c r="D712" s="2"/>
      <c r="E712" s="2"/>
      <c r="F712" s="2"/>
    </row>
    <row r="713" spans="1:6" x14ac:dyDescent="0.3">
      <c r="A713" s="12"/>
      <c r="B713" s="2"/>
      <c r="C713" s="2"/>
      <c r="D713" s="2"/>
      <c r="E713" s="2"/>
      <c r="F713" s="2"/>
    </row>
    <row r="714" spans="1:6" x14ac:dyDescent="0.3">
      <c r="A714" s="12"/>
      <c r="B714" s="2"/>
      <c r="C714" s="2"/>
      <c r="D714" s="2"/>
      <c r="E714" s="2"/>
      <c r="F714" s="2"/>
    </row>
    <row r="715" spans="1:6" x14ac:dyDescent="0.3">
      <c r="A715" s="12"/>
      <c r="B715" s="2"/>
      <c r="C715" s="2"/>
      <c r="D715" s="2"/>
      <c r="E715" s="2"/>
      <c r="F715" s="2"/>
    </row>
    <row r="716" spans="1:6" x14ac:dyDescent="0.3">
      <c r="A716" s="12"/>
      <c r="B716" s="2"/>
      <c r="C716" s="2"/>
      <c r="D716" s="2"/>
      <c r="E716" s="2"/>
      <c r="F716" s="2"/>
    </row>
    <row r="717" spans="1:6" x14ac:dyDescent="0.3">
      <c r="A717" s="12"/>
      <c r="B717" s="2"/>
      <c r="C717" s="2"/>
      <c r="D717" s="2"/>
      <c r="E717" s="2"/>
      <c r="F717" s="2"/>
    </row>
    <row r="718" spans="1:6" x14ac:dyDescent="0.3">
      <c r="A718" s="12"/>
      <c r="B718" s="2"/>
      <c r="C718" s="2"/>
      <c r="D718" s="2"/>
      <c r="E718" s="2"/>
      <c r="F718" s="2"/>
    </row>
    <row r="719" spans="1:6" x14ac:dyDescent="0.3">
      <c r="A719" s="12"/>
      <c r="B719" s="2"/>
      <c r="C719" s="2"/>
      <c r="D719" s="2"/>
      <c r="E719" s="2"/>
      <c r="F719" s="2"/>
    </row>
    <row r="720" spans="1:6" x14ac:dyDescent="0.3">
      <c r="A720" s="12"/>
      <c r="B720" s="2"/>
      <c r="C720" s="2"/>
      <c r="D720" s="2"/>
      <c r="E720" s="2"/>
      <c r="F720" s="2"/>
    </row>
    <row r="721" spans="1:6" x14ac:dyDescent="0.3">
      <c r="A721" s="12"/>
      <c r="B721" s="2"/>
      <c r="C721" s="2"/>
      <c r="D721" s="2"/>
      <c r="E721" s="2"/>
      <c r="F721" s="2"/>
    </row>
    <row r="722" spans="1:6" x14ac:dyDescent="0.3">
      <c r="A722" s="12"/>
      <c r="B722" s="2"/>
      <c r="C722" s="2"/>
      <c r="D722" s="2"/>
      <c r="E722" s="2"/>
      <c r="F722" s="2"/>
    </row>
    <row r="723" spans="1:6" x14ac:dyDescent="0.3">
      <c r="A723" s="12"/>
      <c r="B723" s="2"/>
      <c r="C723" s="2"/>
      <c r="D723" s="2"/>
      <c r="E723" s="2"/>
      <c r="F723" s="2"/>
    </row>
    <row r="724" spans="1:6" x14ac:dyDescent="0.3">
      <c r="A724" s="12"/>
      <c r="B724" s="2"/>
      <c r="C724" s="2"/>
      <c r="D724" s="2"/>
      <c r="E724" s="2"/>
      <c r="F724" s="2"/>
    </row>
    <row r="725" spans="1:6" x14ac:dyDescent="0.3">
      <c r="A725" s="12"/>
      <c r="B725" s="2"/>
      <c r="C725" s="2"/>
      <c r="D725" s="2"/>
      <c r="E725" s="2"/>
      <c r="F725" s="2"/>
    </row>
    <row r="726" spans="1:6" x14ac:dyDescent="0.3">
      <c r="A726" s="12"/>
      <c r="B726" s="2"/>
      <c r="C726" s="2"/>
      <c r="D726" s="2"/>
      <c r="E726" s="2"/>
      <c r="F726" s="2"/>
    </row>
    <row r="727" spans="1:6" x14ac:dyDescent="0.3">
      <c r="A727" s="12"/>
      <c r="B727" s="2"/>
      <c r="C727" s="2"/>
      <c r="D727" s="2"/>
      <c r="E727" s="2"/>
      <c r="F727" s="2"/>
    </row>
    <row r="728" spans="1:6" x14ac:dyDescent="0.3">
      <c r="A728" s="12"/>
      <c r="B728" s="2"/>
      <c r="C728" s="2"/>
      <c r="D728" s="2"/>
      <c r="E728" s="2"/>
      <c r="F728" s="2"/>
    </row>
    <row r="729" spans="1:6" x14ac:dyDescent="0.3">
      <c r="A729" s="12"/>
      <c r="B729" s="2"/>
      <c r="C729" s="2"/>
      <c r="D729" s="2"/>
      <c r="E729" s="2"/>
      <c r="F729" s="2"/>
    </row>
    <row r="730" spans="1:6" x14ac:dyDescent="0.3">
      <c r="A730" s="12"/>
      <c r="B730" s="2"/>
      <c r="C730" s="2"/>
      <c r="D730" s="2"/>
      <c r="E730" s="2"/>
      <c r="F730" s="2"/>
    </row>
    <row r="731" spans="1:6" x14ac:dyDescent="0.3">
      <c r="A731" s="12"/>
      <c r="B731" s="2"/>
      <c r="C731" s="2"/>
      <c r="D731" s="2"/>
      <c r="E731" s="2"/>
      <c r="F731" s="2"/>
    </row>
    <row r="732" spans="1:6" x14ac:dyDescent="0.3">
      <c r="A732" s="12"/>
      <c r="B732" s="2"/>
      <c r="C732" s="2"/>
      <c r="D732" s="2"/>
      <c r="E732" s="2"/>
      <c r="F732" s="2"/>
    </row>
    <row r="733" spans="1:6" x14ac:dyDescent="0.3">
      <c r="A733" s="12"/>
      <c r="B733" s="2"/>
      <c r="C733" s="2"/>
      <c r="D733" s="2"/>
      <c r="E733" s="2"/>
      <c r="F733" s="2"/>
    </row>
    <row r="734" spans="1:6" x14ac:dyDescent="0.3">
      <c r="A734" s="12"/>
      <c r="B734" s="2"/>
      <c r="C734" s="2"/>
      <c r="D734" s="2"/>
      <c r="E734" s="2"/>
      <c r="F734" s="2"/>
    </row>
    <row r="735" spans="1:6" x14ac:dyDescent="0.3">
      <c r="A735" s="12"/>
      <c r="B735" s="2"/>
      <c r="C735" s="2"/>
      <c r="D735" s="2"/>
      <c r="E735" s="2"/>
      <c r="F735" s="2"/>
    </row>
    <row r="736" spans="1:6" x14ac:dyDescent="0.3">
      <c r="A736" s="12"/>
      <c r="B736" s="2"/>
      <c r="C736" s="2"/>
      <c r="D736" s="2"/>
      <c r="E736" s="2"/>
      <c r="F736" s="2"/>
    </row>
    <row r="737" spans="1:6" x14ac:dyDescent="0.3">
      <c r="A737" s="12"/>
      <c r="B737" s="2"/>
      <c r="C737" s="2"/>
      <c r="D737" s="2"/>
      <c r="E737" s="2"/>
      <c r="F737" s="2"/>
    </row>
    <row r="738" spans="1:6" x14ac:dyDescent="0.3">
      <c r="A738" s="12"/>
      <c r="B738" s="2"/>
      <c r="C738" s="2"/>
      <c r="D738" s="2"/>
      <c r="E738" s="2"/>
      <c r="F738" s="2"/>
    </row>
    <row r="739" spans="1:6" x14ac:dyDescent="0.3">
      <c r="A739" s="12"/>
      <c r="B739" s="2"/>
      <c r="C739" s="2"/>
      <c r="D739" s="2"/>
      <c r="E739" s="2"/>
      <c r="F739" s="2"/>
    </row>
    <row r="740" spans="1:6" x14ac:dyDescent="0.3">
      <c r="A740" s="12"/>
      <c r="B740" s="2"/>
      <c r="C740" s="2"/>
      <c r="D740" s="2"/>
      <c r="E740" s="2"/>
      <c r="F740" s="2"/>
    </row>
    <row r="741" spans="1:6" x14ac:dyDescent="0.3">
      <c r="A741" s="12"/>
      <c r="B741" s="2"/>
      <c r="C741" s="2"/>
      <c r="D741" s="2"/>
      <c r="E741" s="2"/>
      <c r="F741" s="2"/>
    </row>
    <row r="742" spans="1:6" x14ac:dyDescent="0.3">
      <c r="A742" s="12"/>
      <c r="B742" s="2"/>
      <c r="C742" s="2"/>
      <c r="D742" s="2"/>
      <c r="E742" s="2"/>
      <c r="F742" s="2"/>
    </row>
    <row r="743" spans="1:6" x14ac:dyDescent="0.3">
      <c r="A743" s="12"/>
      <c r="B743" s="2"/>
      <c r="C743" s="2"/>
      <c r="D743" s="2"/>
      <c r="E743" s="2"/>
      <c r="F743" s="2"/>
    </row>
    <row r="744" spans="1:6" x14ac:dyDescent="0.3">
      <c r="A744" s="12"/>
      <c r="B744" s="2"/>
      <c r="C744" s="2"/>
      <c r="D744" s="2"/>
      <c r="E744" s="2"/>
      <c r="F744" s="2"/>
    </row>
    <row r="745" spans="1:6" x14ac:dyDescent="0.3">
      <c r="A745" s="12"/>
      <c r="B745" s="2"/>
      <c r="C745" s="2"/>
      <c r="D745" s="2"/>
      <c r="E745" s="2"/>
      <c r="F745" s="2"/>
    </row>
    <row r="746" spans="1:6" x14ac:dyDescent="0.3">
      <c r="A746" s="12"/>
      <c r="B746" s="2"/>
      <c r="C746" s="2"/>
      <c r="D746" s="2"/>
      <c r="E746" s="2"/>
      <c r="F746" s="2"/>
    </row>
    <row r="747" spans="1:6" x14ac:dyDescent="0.3">
      <c r="A747" s="12"/>
      <c r="B747" s="2"/>
      <c r="C747" s="2"/>
      <c r="D747" s="2"/>
      <c r="E747" s="2"/>
      <c r="F747" s="2"/>
    </row>
    <row r="748" spans="1:6" x14ac:dyDescent="0.3">
      <c r="A748" s="12"/>
      <c r="B748" s="2"/>
      <c r="C748" s="2"/>
      <c r="D748" s="2"/>
      <c r="E748" s="2"/>
      <c r="F748" s="2"/>
    </row>
    <row r="749" spans="1:6" x14ac:dyDescent="0.3">
      <c r="A749" s="12"/>
      <c r="B749" s="2"/>
      <c r="C749" s="2"/>
      <c r="D749" s="2"/>
      <c r="E749" s="2"/>
      <c r="F749" s="2"/>
    </row>
    <row r="750" spans="1:6" x14ac:dyDescent="0.3">
      <c r="A750" s="12"/>
      <c r="B750" s="2"/>
      <c r="C750" s="2"/>
      <c r="D750" s="2"/>
      <c r="E750" s="2"/>
      <c r="F750" s="2"/>
    </row>
    <row r="751" spans="1:6" x14ac:dyDescent="0.3">
      <c r="A751" s="12"/>
      <c r="B751" s="2"/>
      <c r="C751" s="2"/>
      <c r="D751" s="2"/>
      <c r="E751" s="2"/>
      <c r="F751" s="2"/>
    </row>
    <row r="752" spans="1:6" x14ac:dyDescent="0.3">
      <c r="A752" s="12"/>
      <c r="B752" s="2"/>
      <c r="C752" s="2"/>
      <c r="D752" s="2"/>
      <c r="E752" s="2"/>
      <c r="F752" s="2"/>
    </row>
    <row r="753" spans="1:6" x14ac:dyDescent="0.3">
      <c r="A753" s="12"/>
      <c r="B753" s="2"/>
      <c r="C753" s="2"/>
      <c r="D753" s="2"/>
      <c r="E753" s="2"/>
      <c r="F753" s="2"/>
    </row>
    <row r="754" spans="1:6" x14ac:dyDescent="0.3">
      <c r="A754" s="12"/>
      <c r="B754" s="2"/>
      <c r="C754" s="2"/>
      <c r="D754" s="2"/>
      <c r="E754" s="2"/>
      <c r="F754" s="2"/>
    </row>
    <row r="755" spans="1:6" x14ac:dyDescent="0.3">
      <c r="A755" s="12"/>
      <c r="B755" s="2"/>
      <c r="C755" s="2"/>
      <c r="D755" s="2"/>
      <c r="E755" s="2"/>
      <c r="F755" s="2"/>
    </row>
    <row r="756" spans="1:6" x14ac:dyDescent="0.3">
      <c r="A756" s="12"/>
      <c r="B756" s="2"/>
      <c r="C756" s="2"/>
      <c r="D756" s="2"/>
      <c r="E756" s="2"/>
      <c r="F756" s="2"/>
    </row>
    <row r="757" spans="1:6" x14ac:dyDescent="0.3">
      <c r="A757" s="12"/>
      <c r="B757" s="2"/>
      <c r="C757" s="2"/>
      <c r="D757" s="2"/>
      <c r="E757" s="2"/>
      <c r="F757" s="2"/>
    </row>
    <row r="758" spans="1:6" x14ac:dyDescent="0.3">
      <c r="A758" s="12"/>
      <c r="B758" s="2"/>
      <c r="C758" s="2"/>
      <c r="D758" s="2"/>
      <c r="E758" s="2"/>
      <c r="F758" s="2"/>
    </row>
    <row r="759" spans="1:6" x14ac:dyDescent="0.3">
      <c r="A759" s="12"/>
      <c r="B759" s="2"/>
      <c r="C759" s="2"/>
      <c r="D759" s="2"/>
      <c r="E759" s="2"/>
      <c r="F759" s="2"/>
    </row>
    <row r="760" spans="1:6" x14ac:dyDescent="0.3">
      <c r="A760" s="12"/>
      <c r="B760" s="2"/>
      <c r="C760" s="2"/>
      <c r="D760" s="2"/>
      <c r="E760" s="2"/>
      <c r="F760" s="2"/>
    </row>
    <row r="761" spans="1:6" x14ac:dyDescent="0.3">
      <c r="A761" s="12"/>
      <c r="B761" s="2"/>
      <c r="C761" s="2"/>
      <c r="D761" s="2"/>
      <c r="E761" s="2"/>
      <c r="F761" s="2"/>
    </row>
    <row r="762" spans="1:6" x14ac:dyDescent="0.3">
      <c r="A762" s="12"/>
      <c r="B762" s="2"/>
      <c r="C762" s="2"/>
      <c r="D762" s="2"/>
      <c r="E762" s="2"/>
      <c r="F762" s="2"/>
    </row>
    <row r="763" spans="1:6" x14ac:dyDescent="0.3">
      <c r="A763" s="12"/>
      <c r="B763" s="2"/>
      <c r="C763" s="2"/>
      <c r="D763" s="2"/>
      <c r="E763" s="2"/>
      <c r="F763" s="2"/>
    </row>
    <row r="764" spans="1:6" x14ac:dyDescent="0.3">
      <c r="A764" s="12"/>
      <c r="B764" s="2"/>
      <c r="C764" s="2"/>
      <c r="D764" s="2"/>
      <c r="E764" s="2"/>
      <c r="F764" s="2"/>
    </row>
    <row r="765" spans="1:6" x14ac:dyDescent="0.3">
      <c r="A765" s="12"/>
      <c r="B765" s="2"/>
      <c r="C765" s="2"/>
      <c r="D765" s="2"/>
      <c r="E765" s="2"/>
      <c r="F765" s="2"/>
    </row>
    <row r="766" spans="1:6" x14ac:dyDescent="0.3">
      <c r="A766" s="12"/>
      <c r="B766" s="2"/>
      <c r="C766" s="2"/>
      <c r="D766" s="2"/>
      <c r="E766" s="2"/>
      <c r="F766" s="2"/>
    </row>
    <row r="767" spans="1:6" x14ac:dyDescent="0.3">
      <c r="A767" s="12"/>
      <c r="B767" s="2"/>
      <c r="C767" s="2"/>
      <c r="D767" s="2"/>
      <c r="E767" s="2"/>
      <c r="F767" s="2"/>
    </row>
    <row r="768" spans="1:6" x14ac:dyDescent="0.3">
      <c r="A768" s="12"/>
      <c r="B768" s="2"/>
      <c r="C768" s="2"/>
      <c r="D768" s="2"/>
      <c r="E768" s="2"/>
      <c r="F768" s="2"/>
    </row>
    <row r="769" spans="1:6" x14ac:dyDescent="0.3">
      <c r="A769" s="12"/>
      <c r="B769" s="2"/>
      <c r="C769" s="2"/>
      <c r="D769" s="2"/>
      <c r="E769" s="2"/>
      <c r="F769" s="2"/>
    </row>
    <row r="770" spans="1:6" x14ac:dyDescent="0.3">
      <c r="A770" s="12"/>
      <c r="B770" s="2"/>
      <c r="C770" s="2"/>
      <c r="D770" s="2"/>
      <c r="E770" s="2"/>
      <c r="F770" s="2"/>
    </row>
    <row r="771" spans="1:6" x14ac:dyDescent="0.3">
      <c r="A771" s="12"/>
      <c r="B771" s="2"/>
      <c r="C771" s="2"/>
      <c r="D771" s="2"/>
      <c r="E771" s="2"/>
      <c r="F771" s="2"/>
    </row>
    <row r="772" spans="1:6" x14ac:dyDescent="0.3">
      <c r="A772" s="12"/>
      <c r="B772" s="2"/>
      <c r="C772" s="2"/>
      <c r="D772" s="2"/>
      <c r="E772" s="2"/>
      <c r="F772" s="2"/>
    </row>
    <row r="773" spans="1:6" x14ac:dyDescent="0.3">
      <c r="A773" s="12"/>
      <c r="B773" s="2"/>
      <c r="C773" s="2"/>
      <c r="D773" s="2"/>
      <c r="E773" s="2"/>
      <c r="F773" s="2"/>
    </row>
    <row r="774" spans="1:6" x14ac:dyDescent="0.3">
      <c r="A774" s="12"/>
      <c r="B774" s="2"/>
      <c r="C774" s="2"/>
      <c r="D774" s="2"/>
      <c r="E774" s="2"/>
      <c r="F774" s="2"/>
    </row>
    <row r="775" spans="1:6" x14ac:dyDescent="0.3">
      <c r="A775" s="12"/>
      <c r="B775" s="2"/>
      <c r="C775" s="2"/>
      <c r="D775" s="2"/>
      <c r="E775" s="2"/>
      <c r="F775" s="2"/>
    </row>
    <row r="776" spans="1:6" x14ac:dyDescent="0.3">
      <c r="A776" s="12"/>
      <c r="B776" s="2"/>
      <c r="C776" s="2"/>
      <c r="D776" s="2"/>
      <c r="E776" s="2"/>
      <c r="F776" s="2"/>
    </row>
    <row r="777" spans="1:6" x14ac:dyDescent="0.3">
      <c r="A777" s="12"/>
      <c r="B777" s="2"/>
      <c r="C777" s="2"/>
      <c r="D777" s="2"/>
      <c r="E777" s="2"/>
      <c r="F777" s="2"/>
    </row>
    <row r="778" spans="1:6" x14ac:dyDescent="0.3">
      <c r="A778" s="12"/>
      <c r="B778" s="2"/>
      <c r="C778" s="2"/>
      <c r="D778" s="2"/>
      <c r="E778" s="2"/>
      <c r="F778" s="2"/>
    </row>
    <row r="779" spans="1:6" x14ac:dyDescent="0.3">
      <c r="A779" s="12"/>
      <c r="B779" s="2"/>
      <c r="C779" s="2"/>
      <c r="D779" s="2"/>
      <c r="E779" s="2"/>
      <c r="F779" s="2"/>
    </row>
    <row r="780" spans="1:6" x14ac:dyDescent="0.3">
      <c r="A780" s="12"/>
      <c r="B780" s="2"/>
      <c r="C780" s="2"/>
      <c r="D780" s="2"/>
      <c r="E780" s="2"/>
      <c r="F780" s="2"/>
    </row>
    <row r="781" spans="1:6" x14ac:dyDescent="0.3">
      <c r="A781" s="12"/>
      <c r="B781" s="2"/>
      <c r="C781" s="2"/>
      <c r="D781" s="2"/>
      <c r="E781" s="2"/>
      <c r="F781" s="2"/>
    </row>
    <row r="782" spans="1:6" x14ac:dyDescent="0.3">
      <c r="A782" s="12"/>
      <c r="B782" s="2"/>
      <c r="C782" s="2"/>
      <c r="D782" s="2"/>
      <c r="E782" s="2"/>
      <c r="F782" s="2"/>
    </row>
    <row r="783" spans="1:6" x14ac:dyDescent="0.3">
      <c r="A783" s="12"/>
      <c r="B783" s="2"/>
      <c r="C783" s="2"/>
      <c r="D783" s="2"/>
      <c r="E783" s="2"/>
      <c r="F783" s="2"/>
    </row>
    <row r="784" spans="1:6" x14ac:dyDescent="0.3">
      <c r="A784" s="12"/>
      <c r="B784" s="2"/>
      <c r="C784" s="2"/>
      <c r="D784" s="2"/>
      <c r="E784" s="2"/>
      <c r="F784" s="2"/>
    </row>
    <row r="785" spans="1:6" x14ac:dyDescent="0.3">
      <c r="A785" s="12"/>
      <c r="B785" s="2"/>
      <c r="C785" s="2"/>
      <c r="D785" s="2"/>
      <c r="E785" s="2"/>
      <c r="F785" s="2"/>
    </row>
    <row r="786" spans="1:6" x14ac:dyDescent="0.3">
      <c r="A786" s="12"/>
      <c r="B786" s="2"/>
      <c r="C786" s="2"/>
      <c r="D786" s="2"/>
      <c r="E786" s="2"/>
      <c r="F786" s="2"/>
    </row>
    <row r="787" spans="1:6" x14ac:dyDescent="0.3">
      <c r="A787" s="12"/>
      <c r="B787" s="2"/>
      <c r="C787" s="2"/>
      <c r="D787" s="2"/>
      <c r="E787" s="2"/>
      <c r="F787" s="2"/>
    </row>
    <row r="788" spans="1:6" x14ac:dyDescent="0.3">
      <c r="A788" s="12"/>
      <c r="B788" s="2"/>
      <c r="C788" s="2"/>
      <c r="D788" s="2"/>
      <c r="E788" s="2"/>
      <c r="F788" s="2"/>
    </row>
    <row r="789" spans="1:6" x14ac:dyDescent="0.3">
      <c r="A789" s="12"/>
      <c r="B789" s="2"/>
      <c r="C789" s="2"/>
      <c r="D789" s="2"/>
      <c r="E789" s="2"/>
      <c r="F789" s="2"/>
    </row>
    <row r="790" spans="1:6" x14ac:dyDescent="0.3">
      <c r="A790" s="12"/>
      <c r="B790" s="2"/>
      <c r="C790" s="2"/>
      <c r="D790" s="2"/>
      <c r="E790" s="2"/>
      <c r="F790" s="2"/>
    </row>
    <row r="791" spans="1:6" x14ac:dyDescent="0.3">
      <c r="A791" s="12"/>
      <c r="B791" s="2"/>
      <c r="C791" s="2"/>
      <c r="D791" s="2"/>
      <c r="E791" s="2"/>
      <c r="F791" s="2"/>
    </row>
    <row r="792" spans="1:6" x14ac:dyDescent="0.3">
      <c r="A792" s="12"/>
      <c r="B792" s="2"/>
      <c r="C792" s="2"/>
      <c r="D792" s="2"/>
      <c r="E792" s="2"/>
      <c r="F792" s="2"/>
    </row>
    <row r="793" spans="1:6" x14ac:dyDescent="0.3">
      <c r="A793" s="12"/>
      <c r="B793" s="2"/>
      <c r="C793" s="2"/>
      <c r="D793" s="2"/>
      <c r="E793" s="2"/>
      <c r="F793" s="2"/>
    </row>
    <row r="794" spans="1:6" x14ac:dyDescent="0.3">
      <c r="A794" s="12"/>
      <c r="B794" s="2"/>
      <c r="C794" s="2"/>
      <c r="D794" s="2"/>
      <c r="E794" s="2"/>
      <c r="F794" s="2"/>
    </row>
    <row r="795" spans="1:6" x14ac:dyDescent="0.3">
      <c r="A795" s="12"/>
      <c r="B795" s="2"/>
      <c r="C795" s="2"/>
      <c r="D795" s="2"/>
      <c r="E795" s="2"/>
      <c r="F795" s="2"/>
    </row>
    <row r="796" spans="1:6" x14ac:dyDescent="0.3">
      <c r="A796" s="12"/>
      <c r="B796" s="2"/>
      <c r="C796" s="2"/>
      <c r="D796" s="2"/>
      <c r="E796" s="2"/>
      <c r="F796" s="2"/>
    </row>
    <row r="797" spans="1:6" x14ac:dyDescent="0.3">
      <c r="A797" s="12"/>
      <c r="B797" s="2"/>
      <c r="C797" s="2"/>
      <c r="D797" s="2"/>
      <c r="E797" s="2"/>
      <c r="F797" s="2"/>
    </row>
    <row r="798" spans="1:6" x14ac:dyDescent="0.3">
      <c r="A798" s="12"/>
      <c r="B798" s="2"/>
      <c r="C798" s="2"/>
      <c r="D798" s="2"/>
      <c r="E798" s="2"/>
      <c r="F798" s="2"/>
    </row>
    <row r="799" spans="1:6" x14ac:dyDescent="0.3">
      <c r="A799" s="12"/>
      <c r="B799" s="2"/>
      <c r="C799" s="2"/>
      <c r="D799" s="2"/>
      <c r="E799" s="2"/>
      <c r="F799" s="2"/>
    </row>
    <row r="800" spans="1:6" x14ac:dyDescent="0.3">
      <c r="A800" s="12"/>
      <c r="B800" s="2"/>
      <c r="C800" s="2"/>
      <c r="D800" s="2"/>
      <c r="E800" s="2"/>
      <c r="F800" s="2"/>
    </row>
    <row r="801" spans="1:6" x14ac:dyDescent="0.3">
      <c r="A801" s="12"/>
      <c r="B801" s="2"/>
      <c r="C801" s="2"/>
      <c r="D801" s="2"/>
      <c r="E801" s="2"/>
      <c r="F801" s="2"/>
    </row>
    <row r="802" spans="1:6" x14ac:dyDescent="0.3">
      <c r="A802" s="12"/>
      <c r="B802" s="2"/>
      <c r="C802" s="2"/>
      <c r="D802" s="2"/>
      <c r="E802" s="2"/>
      <c r="F802" s="2"/>
    </row>
    <row r="803" spans="1:6" x14ac:dyDescent="0.3">
      <c r="A803" s="12"/>
      <c r="B803" s="2"/>
      <c r="C803" s="2"/>
      <c r="D803" s="2"/>
      <c r="E803" s="2"/>
      <c r="F803" s="2"/>
    </row>
    <row r="804" spans="1:6" x14ac:dyDescent="0.3">
      <c r="A804" s="12"/>
      <c r="B804" s="2"/>
      <c r="C804" s="2"/>
      <c r="D804" s="2"/>
      <c r="E804" s="2"/>
      <c r="F804" s="2"/>
    </row>
    <row r="805" spans="1:6" x14ac:dyDescent="0.3">
      <c r="A805" s="12"/>
      <c r="B805" s="2"/>
      <c r="C805" s="2"/>
      <c r="D805" s="2"/>
      <c r="E805" s="2"/>
      <c r="F805" s="2"/>
    </row>
    <row r="806" spans="1:6" x14ac:dyDescent="0.3">
      <c r="A806" s="12"/>
      <c r="B806" s="2"/>
      <c r="C806" s="2"/>
      <c r="D806" s="2"/>
      <c r="E806" s="2"/>
      <c r="F806" s="2"/>
    </row>
    <row r="807" spans="1:6" x14ac:dyDescent="0.3">
      <c r="A807" s="12"/>
      <c r="B807" s="2"/>
      <c r="C807" s="2"/>
      <c r="D807" s="2"/>
      <c r="E807" s="2"/>
      <c r="F807" s="2"/>
    </row>
    <row r="808" spans="1:6" x14ac:dyDescent="0.3">
      <c r="A808" s="12"/>
      <c r="B808" s="2"/>
      <c r="C808" s="2"/>
      <c r="D808" s="2"/>
      <c r="E808" s="2"/>
      <c r="F808" s="2"/>
    </row>
    <row r="809" spans="1:6" x14ac:dyDescent="0.3">
      <c r="A809" s="12"/>
      <c r="B809" s="2"/>
      <c r="C809" s="2"/>
      <c r="D809" s="2"/>
      <c r="E809" s="2"/>
      <c r="F809" s="2"/>
    </row>
    <row r="810" spans="1:6" x14ac:dyDescent="0.3">
      <c r="A810" s="12"/>
      <c r="B810" s="2"/>
      <c r="C810" s="2"/>
      <c r="D810" s="2"/>
      <c r="E810" s="2"/>
      <c r="F810" s="2"/>
    </row>
    <row r="811" spans="1:6" x14ac:dyDescent="0.3">
      <c r="A811" s="12"/>
      <c r="B811" s="2"/>
      <c r="C811" s="2"/>
      <c r="D811" s="2"/>
      <c r="E811" s="2"/>
      <c r="F811" s="2"/>
    </row>
    <row r="812" spans="1:6" x14ac:dyDescent="0.3">
      <c r="A812" s="12"/>
      <c r="B812" s="2"/>
      <c r="C812" s="2"/>
      <c r="D812" s="2"/>
      <c r="E812" s="2"/>
      <c r="F812" s="2"/>
    </row>
    <row r="813" spans="1:6" x14ac:dyDescent="0.3">
      <c r="A813" s="12"/>
      <c r="B813" s="2"/>
      <c r="C813" s="2"/>
      <c r="D813" s="2"/>
      <c r="E813" s="2"/>
      <c r="F813" s="2"/>
    </row>
    <row r="814" spans="1:6" x14ac:dyDescent="0.3">
      <c r="A814" s="12"/>
      <c r="B814" s="2"/>
      <c r="C814" s="2"/>
      <c r="D814" s="2"/>
      <c r="E814" s="2"/>
      <c r="F814" s="2"/>
    </row>
    <row r="815" spans="1:6" x14ac:dyDescent="0.3">
      <c r="A815" s="12"/>
      <c r="B815" s="2"/>
      <c r="C815" s="2"/>
      <c r="D815" s="2"/>
      <c r="E815" s="2"/>
      <c r="F815" s="2"/>
    </row>
    <row r="816" spans="1:6" x14ac:dyDescent="0.3">
      <c r="A816" s="12"/>
      <c r="B816" s="2"/>
      <c r="C816" s="2"/>
      <c r="D816" s="2"/>
      <c r="E816" s="2"/>
      <c r="F816" s="2"/>
    </row>
    <row r="817" spans="1:6" x14ac:dyDescent="0.3">
      <c r="A817" s="12"/>
      <c r="B817" s="2"/>
      <c r="C817" s="2"/>
      <c r="D817" s="2"/>
      <c r="E817" s="2"/>
      <c r="F817" s="2"/>
    </row>
    <row r="818" spans="1:6" x14ac:dyDescent="0.3">
      <c r="A818" s="12"/>
      <c r="B818" s="2"/>
      <c r="C818" s="2"/>
      <c r="D818" s="2"/>
      <c r="E818" s="2"/>
      <c r="F818" s="2"/>
    </row>
    <row r="819" spans="1:6" x14ac:dyDescent="0.3">
      <c r="A819" s="12"/>
      <c r="B819" s="2"/>
      <c r="C819" s="2"/>
      <c r="D819" s="2"/>
      <c r="E819" s="2"/>
      <c r="F819" s="2"/>
    </row>
    <row r="820" spans="1:6" x14ac:dyDescent="0.3">
      <c r="A820" s="12"/>
      <c r="B820" s="2"/>
      <c r="C820" s="2"/>
      <c r="D820" s="2"/>
      <c r="E820" s="2"/>
      <c r="F820" s="2"/>
    </row>
    <row r="821" spans="1:6" x14ac:dyDescent="0.3">
      <c r="A821" s="12"/>
      <c r="B821" s="2"/>
      <c r="C821" s="2"/>
      <c r="D821" s="2"/>
      <c r="E821" s="2"/>
      <c r="F821" s="2"/>
    </row>
    <row r="822" spans="1:6" x14ac:dyDescent="0.3">
      <c r="A822" s="12"/>
      <c r="B822" s="2"/>
      <c r="C822" s="2"/>
      <c r="D822" s="2"/>
      <c r="E822" s="2"/>
      <c r="F822" s="2"/>
    </row>
    <row r="823" spans="1:6" x14ac:dyDescent="0.3">
      <c r="A823" s="12"/>
      <c r="B823" s="2"/>
      <c r="C823" s="2"/>
      <c r="D823" s="2"/>
      <c r="E823" s="2"/>
      <c r="F823" s="2"/>
    </row>
    <row r="824" spans="1:6" x14ac:dyDescent="0.3">
      <c r="A824" s="12"/>
      <c r="B824" s="2"/>
      <c r="C824" s="2"/>
      <c r="D824" s="2"/>
      <c r="E824" s="2"/>
      <c r="F824" s="2"/>
    </row>
    <row r="825" spans="1:6" x14ac:dyDescent="0.3">
      <c r="A825" s="12"/>
      <c r="B825" s="2"/>
      <c r="C825" s="2"/>
      <c r="D825" s="2"/>
      <c r="E825" s="2"/>
      <c r="F825" s="2"/>
    </row>
    <row r="826" spans="1:6" x14ac:dyDescent="0.3">
      <c r="A826" s="12"/>
      <c r="B826" s="2"/>
      <c r="C826" s="2"/>
      <c r="D826" s="2"/>
      <c r="E826" s="2"/>
      <c r="F826" s="2"/>
    </row>
    <row r="827" spans="1:6" x14ac:dyDescent="0.3">
      <c r="A827" s="12"/>
      <c r="B827" s="2"/>
      <c r="C827" s="2"/>
      <c r="D827" s="2"/>
      <c r="E827" s="2"/>
      <c r="F827" s="2"/>
    </row>
    <row r="828" spans="1:6" x14ac:dyDescent="0.3">
      <c r="A828" s="12"/>
      <c r="B828" s="2"/>
      <c r="C828" s="2"/>
      <c r="D828" s="2"/>
      <c r="E828" s="2"/>
      <c r="F828" s="2"/>
    </row>
    <row r="829" spans="1:6" x14ac:dyDescent="0.3">
      <c r="A829" s="12"/>
      <c r="B829" s="2"/>
      <c r="C829" s="2"/>
      <c r="D829" s="2"/>
      <c r="E829" s="2"/>
      <c r="F829" s="2"/>
    </row>
    <row r="830" spans="1:6" x14ac:dyDescent="0.3">
      <c r="A830" s="12"/>
      <c r="B830" s="2"/>
      <c r="C830" s="2"/>
      <c r="D830" s="2"/>
      <c r="E830" s="2"/>
      <c r="F830" s="2"/>
    </row>
    <row r="831" spans="1:6" x14ac:dyDescent="0.3">
      <c r="A831" s="12"/>
      <c r="B831" s="2"/>
      <c r="C831" s="2"/>
      <c r="D831" s="2"/>
      <c r="E831" s="2"/>
      <c r="F831" s="2"/>
    </row>
    <row r="832" spans="1:6" x14ac:dyDescent="0.3">
      <c r="A832" s="12"/>
      <c r="B832" s="2"/>
      <c r="C832" s="2"/>
      <c r="D832" s="2"/>
      <c r="E832" s="2"/>
      <c r="F832" s="2"/>
    </row>
    <row r="833" spans="1:6" x14ac:dyDescent="0.3">
      <c r="A833" s="12"/>
      <c r="B833" s="2"/>
      <c r="C833" s="2"/>
      <c r="D833" s="2"/>
      <c r="E833" s="2"/>
      <c r="F833" s="2"/>
    </row>
    <row r="834" spans="1:6" x14ac:dyDescent="0.3">
      <c r="A834" s="12"/>
      <c r="B834" s="2"/>
      <c r="C834" s="2"/>
      <c r="D834" s="2"/>
      <c r="E834" s="2"/>
      <c r="F834" s="2"/>
    </row>
    <row r="835" spans="1:6" x14ac:dyDescent="0.3">
      <c r="A835" s="12"/>
      <c r="B835" s="2"/>
      <c r="C835" s="2"/>
      <c r="D835" s="2"/>
      <c r="E835" s="2"/>
      <c r="F835" s="2"/>
    </row>
    <row r="836" spans="1:6" x14ac:dyDescent="0.3">
      <c r="A836" s="12"/>
      <c r="B836" s="2"/>
      <c r="C836" s="2"/>
      <c r="D836" s="2"/>
      <c r="E836" s="2"/>
      <c r="F836" s="2"/>
    </row>
    <row r="837" spans="1:6" x14ac:dyDescent="0.3">
      <c r="A837" s="12"/>
      <c r="B837" s="2"/>
      <c r="C837" s="2"/>
      <c r="D837" s="2"/>
      <c r="E837" s="2"/>
      <c r="F837" s="2"/>
    </row>
    <row r="838" spans="1:6" x14ac:dyDescent="0.3">
      <c r="A838" s="12"/>
      <c r="B838" s="2"/>
      <c r="C838" s="2"/>
      <c r="D838" s="2"/>
      <c r="E838" s="2"/>
      <c r="F838" s="2"/>
    </row>
    <row r="839" spans="1:6" x14ac:dyDescent="0.3">
      <c r="A839" s="12"/>
      <c r="B839" s="2"/>
      <c r="C839" s="2"/>
      <c r="D839" s="2"/>
      <c r="E839" s="2"/>
      <c r="F839" s="2"/>
    </row>
    <row r="840" spans="1:6" x14ac:dyDescent="0.3">
      <c r="A840" s="12"/>
      <c r="B840" s="2"/>
      <c r="C840" s="2"/>
      <c r="D840" s="2"/>
      <c r="E840" s="2"/>
      <c r="F840" s="2"/>
    </row>
    <row r="841" spans="1:6" x14ac:dyDescent="0.3">
      <c r="A841" s="12"/>
      <c r="B841" s="2"/>
      <c r="C841" s="2"/>
      <c r="D841" s="2"/>
      <c r="E841" s="2"/>
      <c r="F841" s="2"/>
    </row>
    <row r="842" spans="1:6" x14ac:dyDescent="0.3">
      <c r="A842" s="12"/>
      <c r="B842" s="2"/>
      <c r="C842" s="2"/>
      <c r="D842" s="2"/>
      <c r="E842" s="2"/>
      <c r="F842" s="2"/>
    </row>
    <row r="843" spans="1:6" x14ac:dyDescent="0.3">
      <c r="A843" s="12"/>
      <c r="B843" s="2"/>
      <c r="C843" s="2"/>
      <c r="D843" s="2"/>
      <c r="E843" s="2"/>
      <c r="F843" s="2"/>
    </row>
    <row r="844" spans="1:6" x14ac:dyDescent="0.3">
      <c r="A844" s="12"/>
      <c r="B844" s="2"/>
      <c r="C844" s="2"/>
      <c r="D844" s="2"/>
      <c r="E844" s="2"/>
      <c r="F844" s="2"/>
    </row>
    <row r="845" spans="1:6" x14ac:dyDescent="0.3">
      <c r="A845" s="12"/>
      <c r="B845" s="2"/>
      <c r="C845" s="2"/>
      <c r="D845" s="2"/>
      <c r="E845" s="2"/>
      <c r="F845" s="2"/>
    </row>
    <row r="846" spans="1:6" x14ac:dyDescent="0.3">
      <c r="A846" s="12"/>
      <c r="B846" s="2"/>
      <c r="C846" s="2"/>
      <c r="D846" s="2"/>
      <c r="E846" s="2"/>
      <c r="F846" s="2"/>
    </row>
    <row r="847" spans="1:6" x14ac:dyDescent="0.3">
      <c r="A847" s="12"/>
      <c r="B847" s="2"/>
      <c r="C847" s="2"/>
      <c r="D847" s="2"/>
      <c r="E847" s="2"/>
      <c r="F847" s="2"/>
    </row>
    <row r="848" spans="1:6" x14ac:dyDescent="0.3">
      <c r="A848" s="12"/>
      <c r="B848" s="2"/>
      <c r="C848" s="2"/>
      <c r="D848" s="2"/>
      <c r="E848" s="2"/>
      <c r="F848" s="2"/>
    </row>
    <row r="849" spans="1:6" x14ac:dyDescent="0.3">
      <c r="A849" s="12"/>
      <c r="B849" s="2"/>
      <c r="C849" s="2"/>
      <c r="D849" s="2"/>
      <c r="E849" s="2"/>
      <c r="F849" s="2"/>
    </row>
    <row r="850" spans="1:6" x14ac:dyDescent="0.3">
      <c r="A850" s="12"/>
      <c r="B850" s="2"/>
      <c r="C850" s="2"/>
      <c r="D850" s="2"/>
      <c r="E850" s="2"/>
      <c r="F850" s="2"/>
    </row>
    <row r="851" spans="1:6" x14ac:dyDescent="0.3">
      <c r="A851" s="12"/>
      <c r="B851" s="2"/>
      <c r="C851" s="2"/>
      <c r="D851" s="2"/>
      <c r="E851" s="2"/>
      <c r="F851" s="2"/>
    </row>
    <row r="852" spans="1:6" x14ac:dyDescent="0.3">
      <c r="A852" s="12"/>
      <c r="B852" s="2"/>
      <c r="C852" s="2"/>
      <c r="D852" s="2"/>
      <c r="E852" s="2"/>
      <c r="F852" s="2"/>
    </row>
    <row r="853" spans="1:6" x14ac:dyDescent="0.3">
      <c r="A853" s="12"/>
      <c r="B853" s="2"/>
      <c r="C853" s="2"/>
      <c r="D853" s="2"/>
      <c r="E853" s="2"/>
      <c r="F853" s="2"/>
    </row>
    <row r="854" spans="1:6" x14ac:dyDescent="0.3">
      <c r="A854" s="12"/>
      <c r="B854" s="2"/>
      <c r="C854" s="2"/>
      <c r="D854" s="2"/>
      <c r="E854" s="2"/>
      <c r="F854" s="2"/>
    </row>
    <row r="855" spans="1:6" x14ac:dyDescent="0.3">
      <c r="A855" s="12"/>
      <c r="B855" s="2"/>
      <c r="C855" s="2"/>
      <c r="D855" s="2"/>
      <c r="E855" s="2"/>
      <c r="F855" s="2"/>
    </row>
    <row r="856" spans="1:6" x14ac:dyDescent="0.3">
      <c r="A856" s="12"/>
      <c r="B856" s="2"/>
      <c r="C856" s="2"/>
      <c r="D856" s="2"/>
      <c r="E856" s="2"/>
      <c r="F856" s="2"/>
    </row>
    <row r="857" spans="1:6" x14ac:dyDescent="0.3">
      <c r="A857" s="12"/>
      <c r="B857" s="2"/>
      <c r="C857" s="2"/>
      <c r="D857" s="2"/>
      <c r="E857" s="2"/>
      <c r="F857" s="2"/>
    </row>
    <row r="858" spans="1:6" x14ac:dyDescent="0.3">
      <c r="A858" s="12"/>
      <c r="B858" s="2"/>
      <c r="C858" s="2"/>
      <c r="D858" s="2"/>
      <c r="E858" s="2"/>
      <c r="F858" s="2"/>
    </row>
    <row r="859" spans="1:6" x14ac:dyDescent="0.3">
      <c r="A859" s="12"/>
      <c r="B859" s="2"/>
      <c r="C859" s="2"/>
      <c r="D859" s="2"/>
      <c r="E859" s="2"/>
      <c r="F859" s="2"/>
    </row>
    <row r="860" spans="1:6" x14ac:dyDescent="0.3">
      <c r="A860" s="12"/>
      <c r="B860" s="2"/>
      <c r="C860" s="2"/>
      <c r="D860" s="2"/>
      <c r="E860" s="2"/>
      <c r="F860" s="2"/>
    </row>
    <row r="861" spans="1:6" x14ac:dyDescent="0.3">
      <c r="A861" s="12"/>
      <c r="B861" s="2"/>
      <c r="C861" s="2"/>
      <c r="D861" s="2"/>
      <c r="E861" s="2"/>
      <c r="F861" s="2"/>
    </row>
    <row r="862" spans="1:6" x14ac:dyDescent="0.3">
      <c r="A862" s="12"/>
      <c r="B862" s="2"/>
      <c r="C862" s="2"/>
      <c r="D862" s="2"/>
      <c r="E862" s="2"/>
      <c r="F862" s="2"/>
    </row>
    <row r="863" spans="1:6" x14ac:dyDescent="0.3">
      <c r="A863" s="12"/>
      <c r="B863" s="2"/>
      <c r="C863" s="2"/>
      <c r="D863" s="2"/>
      <c r="E863" s="2"/>
      <c r="F863" s="2"/>
    </row>
    <row r="864" spans="1:6" x14ac:dyDescent="0.3">
      <c r="A864" s="12"/>
      <c r="B864" s="2"/>
      <c r="C864" s="2"/>
      <c r="D864" s="2"/>
      <c r="E864" s="2"/>
      <c r="F864" s="2"/>
    </row>
    <row r="865" spans="1:6" x14ac:dyDescent="0.3">
      <c r="A865" s="12"/>
      <c r="B865" s="2"/>
      <c r="C865" s="2"/>
      <c r="D865" s="2"/>
      <c r="E865" s="2"/>
      <c r="F865" s="2"/>
    </row>
    <row r="866" spans="1:6" x14ac:dyDescent="0.3">
      <c r="A866" s="12"/>
      <c r="B866" s="2"/>
      <c r="C866" s="2"/>
      <c r="D866" s="2"/>
      <c r="E866" s="2"/>
      <c r="F866" s="2"/>
    </row>
    <row r="867" spans="1:6" x14ac:dyDescent="0.3">
      <c r="A867" s="12"/>
      <c r="B867" s="2"/>
      <c r="C867" s="2"/>
      <c r="D867" s="2"/>
      <c r="E867" s="2"/>
      <c r="F867" s="2"/>
    </row>
    <row r="868" spans="1:6" x14ac:dyDescent="0.3">
      <c r="A868" s="12"/>
      <c r="B868" s="2"/>
      <c r="C868" s="2"/>
      <c r="D868" s="2"/>
      <c r="E868" s="2"/>
      <c r="F868" s="2"/>
    </row>
    <row r="869" spans="1:6" x14ac:dyDescent="0.3">
      <c r="A869" s="12"/>
      <c r="B869" s="2"/>
      <c r="C869" s="2"/>
      <c r="D869" s="2"/>
      <c r="E869" s="2"/>
      <c r="F869" s="2"/>
    </row>
    <row r="870" spans="1:6" x14ac:dyDescent="0.3">
      <c r="A870" s="12"/>
      <c r="B870" s="2"/>
      <c r="C870" s="2"/>
      <c r="D870" s="2"/>
      <c r="E870" s="2"/>
      <c r="F870" s="2"/>
    </row>
    <row r="871" spans="1:6" x14ac:dyDescent="0.3">
      <c r="A871" s="12"/>
      <c r="B871" s="2"/>
      <c r="C871" s="2"/>
      <c r="D871" s="2"/>
      <c r="E871" s="2"/>
      <c r="F871" s="2"/>
    </row>
    <row r="872" spans="1:6" x14ac:dyDescent="0.3">
      <c r="A872" s="12"/>
      <c r="B872" s="2"/>
      <c r="C872" s="2"/>
      <c r="D872" s="2"/>
      <c r="E872" s="2"/>
      <c r="F872" s="2"/>
    </row>
    <row r="873" spans="1:6" x14ac:dyDescent="0.3">
      <c r="A873" s="12"/>
      <c r="B873" s="2"/>
      <c r="C873" s="2"/>
      <c r="D873" s="2"/>
      <c r="E873" s="2"/>
      <c r="F873" s="2"/>
    </row>
    <row r="874" spans="1:6" x14ac:dyDescent="0.3">
      <c r="A874" s="12"/>
      <c r="B874" s="2"/>
      <c r="C874" s="2"/>
      <c r="D874" s="2"/>
      <c r="E874" s="2"/>
      <c r="F874" s="2"/>
    </row>
    <row r="875" spans="1:6" x14ac:dyDescent="0.3">
      <c r="A875" s="12"/>
      <c r="B875" s="2"/>
      <c r="C875" s="2"/>
      <c r="D875" s="2"/>
      <c r="E875" s="2"/>
      <c r="F875" s="2"/>
    </row>
    <row r="876" spans="1:6" x14ac:dyDescent="0.3">
      <c r="A876" s="12"/>
      <c r="B876" s="2"/>
      <c r="C876" s="2"/>
      <c r="D876" s="2"/>
      <c r="E876" s="2"/>
      <c r="F876" s="2"/>
    </row>
    <row r="877" spans="1:6" x14ac:dyDescent="0.3">
      <c r="A877" s="12"/>
      <c r="B877" s="2"/>
      <c r="C877" s="2"/>
      <c r="D877" s="2"/>
      <c r="E877" s="2"/>
      <c r="F877" s="2"/>
    </row>
    <row r="878" spans="1:6" x14ac:dyDescent="0.3">
      <c r="A878" s="12"/>
      <c r="B878" s="2"/>
      <c r="C878" s="2"/>
      <c r="D878" s="2"/>
      <c r="E878" s="2"/>
      <c r="F878" s="2"/>
    </row>
    <row r="879" spans="1:6" x14ac:dyDescent="0.3">
      <c r="A879" s="12"/>
      <c r="B879" s="2"/>
      <c r="C879" s="2"/>
      <c r="D879" s="2"/>
      <c r="E879" s="2"/>
      <c r="F879" s="2"/>
    </row>
    <row r="880" spans="1:6" x14ac:dyDescent="0.3">
      <c r="A880" s="12"/>
      <c r="B880" s="2"/>
      <c r="C880" s="2"/>
      <c r="D880" s="2"/>
      <c r="E880" s="2"/>
      <c r="F880" s="2"/>
    </row>
    <row r="881" spans="1:6" x14ac:dyDescent="0.3">
      <c r="A881" s="12"/>
      <c r="B881" s="2"/>
      <c r="C881" s="2"/>
      <c r="D881" s="2"/>
      <c r="E881" s="2"/>
      <c r="F881" s="2"/>
    </row>
    <row r="882" spans="1:6" x14ac:dyDescent="0.3">
      <c r="A882" s="12"/>
      <c r="B882" s="2"/>
      <c r="C882" s="2"/>
      <c r="D882" s="2"/>
      <c r="E882" s="2"/>
      <c r="F882" s="2"/>
    </row>
    <row r="883" spans="1:6" x14ac:dyDescent="0.3">
      <c r="A883" s="12"/>
      <c r="B883" s="2"/>
      <c r="C883" s="2"/>
      <c r="D883" s="2"/>
      <c r="E883" s="2"/>
      <c r="F883" s="2"/>
    </row>
    <row r="884" spans="1:6" x14ac:dyDescent="0.3">
      <c r="A884" s="12"/>
      <c r="B884" s="2"/>
      <c r="C884" s="2"/>
      <c r="D884" s="2"/>
      <c r="E884" s="2"/>
      <c r="F884" s="2"/>
    </row>
    <row r="885" spans="1:6" x14ac:dyDescent="0.3">
      <c r="A885" s="12"/>
      <c r="B885" s="2"/>
      <c r="C885" s="2"/>
      <c r="D885" s="2"/>
      <c r="E885" s="2"/>
      <c r="F885" s="2"/>
    </row>
    <row r="886" spans="1:6" x14ac:dyDescent="0.3">
      <c r="A886" s="12"/>
      <c r="B886" s="2"/>
      <c r="C886" s="2"/>
      <c r="D886" s="2"/>
      <c r="E886" s="2"/>
      <c r="F886" s="2"/>
    </row>
    <row r="887" spans="1:6" x14ac:dyDescent="0.3">
      <c r="A887" s="12"/>
      <c r="B887" s="2"/>
      <c r="C887" s="2"/>
      <c r="D887" s="2"/>
      <c r="E887" s="2"/>
      <c r="F887" s="2"/>
    </row>
    <row r="888" spans="1:6" x14ac:dyDescent="0.3">
      <c r="A888" s="12"/>
      <c r="B888" s="2"/>
      <c r="C888" s="2"/>
      <c r="D888" s="2"/>
      <c r="E888" s="2"/>
      <c r="F888" s="2"/>
    </row>
    <row r="889" spans="1:6" x14ac:dyDescent="0.3">
      <c r="A889" s="12"/>
      <c r="B889" s="2"/>
      <c r="C889" s="2"/>
      <c r="D889" s="2"/>
      <c r="E889" s="2"/>
      <c r="F889" s="2"/>
    </row>
    <row r="890" spans="1:6" x14ac:dyDescent="0.3">
      <c r="A890" s="12"/>
      <c r="B890" s="2"/>
      <c r="C890" s="2"/>
      <c r="D890" s="2"/>
      <c r="E890" s="2"/>
      <c r="F890" s="2"/>
    </row>
    <row r="891" spans="1:6" x14ac:dyDescent="0.3">
      <c r="A891" s="12"/>
      <c r="B891" s="2"/>
      <c r="C891" s="2"/>
      <c r="D891" s="2"/>
      <c r="E891" s="2"/>
      <c r="F891" s="2"/>
    </row>
    <row r="892" spans="1:6" x14ac:dyDescent="0.3">
      <c r="A892" s="12"/>
      <c r="B892" s="2"/>
      <c r="C892" s="2"/>
      <c r="D892" s="2"/>
      <c r="E892" s="2"/>
      <c r="F892" s="2"/>
    </row>
    <row r="893" spans="1:6" x14ac:dyDescent="0.3">
      <c r="A893" s="12"/>
      <c r="B893" s="2"/>
      <c r="C893" s="2"/>
      <c r="D893" s="2"/>
      <c r="E893" s="2"/>
      <c r="F893" s="2"/>
    </row>
    <row r="894" spans="1:6" x14ac:dyDescent="0.3">
      <c r="A894" s="12"/>
      <c r="B894" s="2"/>
      <c r="C894" s="2"/>
      <c r="D894" s="2"/>
      <c r="E894" s="2"/>
      <c r="F894" s="2"/>
    </row>
    <row r="895" spans="1:6" x14ac:dyDescent="0.3">
      <c r="A895" s="12"/>
      <c r="B895" s="2"/>
      <c r="C895" s="2"/>
      <c r="D895" s="2"/>
      <c r="E895" s="2"/>
      <c r="F895" s="2"/>
    </row>
    <row r="896" spans="1:6" x14ac:dyDescent="0.3">
      <c r="A896" s="12"/>
      <c r="B896" s="2"/>
      <c r="C896" s="2"/>
      <c r="D896" s="2"/>
      <c r="E896" s="2"/>
      <c r="F896" s="2"/>
    </row>
    <row r="897" spans="1:6" x14ac:dyDescent="0.3">
      <c r="A897" s="12"/>
      <c r="B897" s="2"/>
      <c r="C897" s="2"/>
      <c r="D897" s="2"/>
      <c r="E897" s="2"/>
      <c r="F897" s="2"/>
    </row>
    <row r="898" spans="1:6" x14ac:dyDescent="0.3">
      <c r="A898" s="12"/>
      <c r="B898" s="2"/>
      <c r="C898" s="2"/>
      <c r="D898" s="2"/>
      <c r="E898" s="2"/>
      <c r="F898" s="2"/>
    </row>
    <row r="899" spans="1:6" x14ac:dyDescent="0.3">
      <c r="A899" s="12"/>
      <c r="B899" s="2"/>
      <c r="C899" s="2"/>
      <c r="D899" s="2"/>
      <c r="E899" s="2"/>
      <c r="F899" s="2"/>
    </row>
    <row r="900" spans="1:6" x14ac:dyDescent="0.3">
      <c r="A900" s="12"/>
      <c r="B900" s="2"/>
      <c r="C900" s="2"/>
      <c r="D900" s="2"/>
      <c r="E900" s="2"/>
      <c r="F900" s="2"/>
    </row>
    <row r="901" spans="1:6" x14ac:dyDescent="0.3">
      <c r="A901" s="12"/>
      <c r="B901" s="2"/>
      <c r="C901" s="2"/>
      <c r="D901" s="2"/>
      <c r="E901" s="2"/>
      <c r="F901" s="2"/>
    </row>
    <row r="902" spans="1:6" x14ac:dyDescent="0.3">
      <c r="A902" s="12"/>
      <c r="B902" s="2"/>
      <c r="C902" s="2"/>
      <c r="D902" s="2"/>
      <c r="E902" s="2"/>
      <c r="F902" s="2"/>
    </row>
    <row r="903" spans="1:6" x14ac:dyDescent="0.3">
      <c r="A903" s="12"/>
      <c r="B903" s="2"/>
      <c r="C903" s="2"/>
      <c r="D903" s="2"/>
      <c r="E903" s="2"/>
      <c r="F903" s="2"/>
    </row>
    <row r="904" spans="1:6" x14ac:dyDescent="0.3">
      <c r="A904" s="12"/>
      <c r="B904" s="2"/>
      <c r="C904" s="2"/>
      <c r="D904" s="2"/>
      <c r="E904" s="2"/>
      <c r="F904" s="2"/>
    </row>
    <row r="905" spans="1:6" x14ac:dyDescent="0.3">
      <c r="A905" s="12"/>
      <c r="B905" s="2"/>
      <c r="C905" s="2"/>
      <c r="D905" s="2"/>
      <c r="E905" s="2"/>
      <c r="F905" s="2"/>
    </row>
    <row r="906" spans="1:6" x14ac:dyDescent="0.3">
      <c r="A906" s="12"/>
      <c r="B906" s="2"/>
      <c r="C906" s="2"/>
      <c r="D906" s="2"/>
      <c r="E906" s="2"/>
      <c r="F906" s="2"/>
    </row>
    <row r="907" spans="1:6" x14ac:dyDescent="0.3">
      <c r="A907" s="12"/>
      <c r="B907" s="2"/>
      <c r="C907" s="2"/>
      <c r="D907" s="2"/>
      <c r="E907" s="2"/>
      <c r="F907" s="2"/>
    </row>
    <row r="908" spans="1:6" x14ac:dyDescent="0.3">
      <c r="A908" s="12"/>
      <c r="B908" s="2"/>
      <c r="C908" s="2"/>
      <c r="D908" s="2"/>
      <c r="E908" s="2"/>
      <c r="F908" s="2"/>
    </row>
    <row r="909" spans="1:6" x14ac:dyDescent="0.3">
      <c r="A909" s="12"/>
      <c r="B909" s="2"/>
      <c r="C909" s="2"/>
      <c r="D909" s="2"/>
      <c r="E909" s="2"/>
      <c r="F909" s="2"/>
    </row>
    <row r="910" spans="1:6" x14ac:dyDescent="0.3">
      <c r="A910" s="12"/>
      <c r="B910" s="2"/>
      <c r="C910" s="2"/>
      <c r="D910" s="2"/>
      <c r="E910" s="2"/>
      <c r="F910" s="2"/>
    </row>
    <row r="911" spans="1:6" x14ac:dyDescent="0.3">
      <c r="A911" s="12"/>
      <c r="B911" s="2"/>
      <c r="C911" s="2"/>
      <c r="D911" s="2"/>
      <c r="E911" s="2"/>
      <c r="F911" s="2"/>
    </row>
    <row r="912" spans="1:6" x14ac:dyDescent="0.3">
      <c r="A912" s="12"/>
      <c r="B912" s="2"/>
      <c r="C912" s="2"/>
      <c r="D912" s="2"/>
      <c r="E912" s="2"/>
      <c r="F912" s="2"/>
    </row>
    <row r="913" spans="1:6" x14ac:dyDescent="0.3">
      <c r="A913" s="12"/>
      <c r="B913" s="2"/>
      <c r="C913" s="2"/>
      <c r="D913" s="2"/>
      <c r="E913" s="2"/>
      <c r="F913" s="2"/>
    </row>
    <row r="914" spans="1:6" x14ac:dyDescent="0.3">
      <c r="A914" s="12"/>
      <c r="B914" s="2"/>
      <c r="C914" s="2"/>
      <c r="D914" s="2"/>
      <c r="E914" s="2"/>
      <c r="F914" s="2"/>
    </row>
    <row r="915" spans="1:6" x14ac:dyDescent="0.3">
      <c r="A915" s="12"/>
      <c r="B915" s="2"/>
      <c r="C915" s="2"/>
      <c r="D915" s="2"/>
      <c r="E915" s="2"/>
      <c r="F915" s="2"/>
    </row>
    <row r="916" spans="1:6" x14ac:dyDescent="0.3">
      <c r="A916" s="12"/>
      <c r="B916" s="2"/>
      <c r="C916" s="2"/>
      <c r="D916" s="2"/>
      <c r="E916" s="2"/>
      <c r="F916" s="2"/>
    </row>
    <row r="917" spans="1:6" x14ac:dyDescent="0.3">
      <c r="A917" s="12"/>
      <c r="B917" s="2"/>
      <c r="C917" s="2"/>
      <c r="D917" s="2"/>
      <c r="E917" s="2"/>
      <c r="F917" s="2"/>
    </row>
    <row r="918" spans="1:6" x14ac:dyDescent="0.3">
      <c r="A918" s="12"/>
      <c r="B918" s="2"/>
      <c r="C918" s="2"/>
      <c r="D918" s="2"/>
      <c r="E918" s="2"/>
      <c r="F918" s="2"/>
    </row>
    <row r="919" spans="1:6" x14ac:dyDescent="0.3">
      <c r="A919" s="12"/>
      <c r="B919" s="2"/>
      <c r="C919" s="2"/>
      <c r="D919" s="2"/>
      <c r="E919" s="2"/>
      <c r="F919" s="2"/>
    </row>
    <row r="920" spans="1:6" x14ac:dyDescent="0.3">
      <c r="A920" s="12"/>
      <c r="B920" s="2"/>
      <c r="C920" s="2"/>
      <c r="D920" s="2"/>
      <c r="E920" s="2"/>
      <c r="F920" s="2"/>
    </row>
    <row r="921" spans="1:6" x14ac:dyDescent="0.3">
      <c r="A921" s="12"/>
      <c r="B921" s="2"/>
      <c r="C921" s="2"/>
      <c r="D921" s="2"/>
      <c r="E921" s="2"/>
      <c r="F921" s="2"/>
    </row>
    <row r="922" spans="1:6" x14ac:dyDescent="0.3">
      <c r="A922" s="12"/>
      <c r="B922" s="2"/>
      <c r="C922" s="2"/>
      <c r="D922" s="2"/>
      <c r="E922" s="2"/>
      <c r="F922" s="2"/>
    </row>
    <row r="923" spans="1:6" x14ac:dyDescent="0.3">
      <c r="A923" s="12"/>
      <c r="B923" s="2"/>
      <c r="C923" s="2"/>
      <c r="D923" s="2"/>
      <c r="E923" s="2"/>
      <c r="F923" s="2"/>
    </row>
    <row r="924" spans="1:6" x14ac:dyDescent="0.3">
      <c r="A924" s="12"/>
      <c r="B924" s="2"/>
      <c r="C924" s="2"/>
      <c r="D924" s="2"/>
      <c r="E924" s="2"/>
      <c r="F924" s="2"/>
    </row>
    <row r="925" spans="1:6" x14ac:dyDescent="0.3">
      <c r="A925" s="12"/>
      <c r="B925" s="2"/>
      <c r="C925" s="2"/>
      <c r="D925" s="2"/>
      <c r="E925" s="2"/>
      <c r="F925" s="2"/>
    </row>
    <row r="926" spans="1:6" x14ac:dyDescent="0.3">
      <c r="A926" s="12"/>
      <c r="B926" s="2"/>
      <c r="C926" s="2"/>
      <c r="D926" s="2"/>
      <c r="E926" s="2"/>
      <c r="F926" s="2"/>
    </row>
    <row r="927" spans="1:6" x14ac:dyDescent="0.3">
      <c r="A927" s="12"/>
      <c r="B927" s="2"/>
      <c r="C927" s="2"/>
      <c r="D927" s="2"/>
      <c r="E927" s="2"/>
      <c r="F927" s="2"/>
    </row>
    <row r="928" spans="1:6" x14ac:dyDescent="0.3">
      <c r="A928" s="12"/>
      <c r="B928" s="2"/>
      <c r="C928" s="2"/>
      <c r="D928" s="2"/>
      <c r="E928" s="2"/>
      <c r="F928" s="2"/>
    </row>
    <row r="929" spans="1:6" x14ac:dyDescent="0.3">
      <c r="A929" s="12"/>
      <c r="B929" s="2"/>
      <c r="C929" s="2"/>
      <c r="D929" s="2"/>
      <c r="E929" s="2"/>
      <c r="F929" s="2"/>
    </row>
    <row r="930" spans="1:6" x14ac:dyDescent="0.3">
      <c r="A930" s="12"/>
      <c r="B930" s="2"/>
      <c r="C930" s="2"/>
      <c r="D930" s="2"/>
      <c r="E930" s="2"/>
      <c r="F930" s="2"/>
    </row>
    <row r="931" spans="1:6" x14ac:dyDescent="0.3">
      <c r="A931" s="12"/>
      <c r="B931" s="2"/>
      <c r="C931" s="2"/>
      <c r="D931" s="2"/>
      <c r="E931" s="2"/>
      <c r="F931" s="2"/>
    </row>
    <row r="932" spans="1:6" x14ac:dyDescent="0.3">
      <c r="A932" s="12"/>
      <c r="B932" s="2"/>
      <c r="C932" s="2"/>
      <c r="D932" s="2"/>
      <c r="E932" s="2"/>
      <c r="F932" s="2"/>
    </row>
    <row r="933" spans="1:6" x14ac:dyDescent="0.3">
      <c r="A933" s="12"/>
      <c r="B933" s="2"/>
      <c r="C933" s="2"/>
      <c r="D933" s="2"/>
      <c r="E933" s="2"/>
      <c r="F933" s="2"/>
    </row>
    <row r="934" spans="1:6" x14ac:dyDescent="0.3">
      <c r="A934" s="12"/>
      <c r="B934" s="2"/>
      <c r="C934" s="2"/>
      <c r="D934" s="2"/>
      <c r="E934" s="2"/>
      <c r="F934" s="2"/>
    </row>
    <row r="935" spans="1:6" x14ac:dyDescent="0.3">
      <c r="A935" s="12"/>
      <c r="B935" s="2"/>
      <c r="C935" s="2"/>
      <c r="D935" s="2"/>
      <c r="E935" s="2"/>
      <c r="F935" s="2"/>
    </row>
    <row r="936" spans="1:6" x14ac:dyDescent="0.3">
      <c r="A936" s="12"/>
      <c r="B936" s="2"/>
      <c r="C936" s="2"/>
      <c r="D936" s="2"/>
      <c r="E936" s="2"/>
      <c r="F936" s="2"/>
    </row>
    <row r="937" spans="1:6" x14ac:dyDescent="0.3">
      <c r="A937" s="12"/>
      <c r="B937" s="2"/>
      <c r="C937" s="2"/>
      <c r="D937" s="2"/>
      <c r="E937" s="2"/>
      <c r="F937" s="2"/>
    </row>
    <row r="938" spans="1:6" x14ac:dyDescent="0.3">
      <c r="A938" s="12"/>
      <c r="B938" s="2"/>
      <c r="C938" s="2"/>
      <c r="D938" s="2"/>
      <c r="E938" s="2"/>
      <c r="F938" s="2"/>
    </row>
    <row r="939" spans="1:6" x14ac:dyDescent="0.3">
      <c r="A939" s="12"/>
      <c r="B939" s="2"/>
      <c r="C939" s="2"/>
      <c r="D939" s="2"/>
      <c r="E939" s="2"/>
      <c r="F939" s="2"/>
    </row>
    <row r="940" spans="1:6" x14ac:dyDescent="0.3">
      <c r="A940" s="12"/>
      <c r="B940" s="2"/>
      <c r="C940" s="2"/>
      <c r="D940" s="2"/>
      <c r="E940" s="2"/>
      <c r="F940" s="2"/>
    </row>
    <row r="941" spans="1:6" x14ac:dyDescent="0.3">
      <c r="A941" s="12"/>
      <c r="B941" s="2"/>
      <c r="C941" s="2"/>
      <c r="D941" s="2"/>
      <c r="E941" s="2"/>
      <c r="F941" s="2"/>
    </row>
    <row r="942" spans="1:6" x14ac:dyDescent="0.3">
      <c r="A942" s="12"/>
      <c r="B942" s="2"/>
      <c r="C942" s="2"/>
      <c r="D942" s="2"/>
      <c r="E942" s="2"/>
      <c r="F942" s="2"/>
    </row>
    <row r="943" spans="1:6" x14ac:dyDescent="0.3">
      <c r="A943" s="12"/>
      <c r="B943" s="2"/>
      <c r="C943" s="2"/>
      <c r="D943" s="2"/>
      <c r="E943" s="2"/>
      <c r="F943" s="2"/>
    </row>
    <row r="944" spans="1:6" x14ac:dyDescent="0.3">
      <c r="A944" s="12"/>
      <c r="B944" s="2"/>
      <c r="C944" s="2"/>
      <c r="D944" s="2"/>
      <c r="E944" s="2"/>
      <c r="F944" s="2"/>
    </row>
    <row r="945" spans="1:6" x14ac:dyDescent="0.3">
      <c r="A945" s="12"/>
      <c r="B945" s="2"/>
      <c r="C945" s="2"/>
      <c r="D945" s="2"/>
      <c r="E945" s="2"/>
      <c r="F945" s="2"/>
    </row>
    <row r="946" spans="1:6" x14ac:dyDescent="0.3">
      <c r="A946" s="12"/>
      <c r="B946" s="2"/>
      <c r="C946" s="2"/>
      <c r="D946" s="2"/>
      <c r="E946" s="2"/>
      <c r="F946" s="2"/>
    </row>
    <row r="947" spans="1:6" x14ac:dyDescent="0.3">
      <c r="A947" s="12"/>
      <c r="B947" s="2"/>
      <c r="C947" s="2"/>
      <c r="D947" s="2"/>
      <c r="E947" s="2"/>
      <c r="F947" s="2"/>
    </row>
    <row r="948" spans="1:6" x14ac:dyDescent="0.3">
      <c r="A948" s="12"/>
      <c r="B948" s="2"/>
      <c r="C948" s="2"/>
      <c r="D948" s="2"/>
      <c r="E948" s="2"/>
      <c r="F948" s="2"/>
    </row>
    <row r="949" spans="1:6" x14ac:dyDescent="0.3">
      <c r="A949" s="12"/>
      <c r="B949" s="2"/>
      <c r="C949" s="2"/>
      <c r="D949" s="2"/>
      <c r="E949" s="2"/>
      <c r="F949" s="2"/>
    </row>
    <row r="950" spans="1:6" x14ac:dyDescent="0.3">
      <c r="A950" s="12"/>
      <c r="B950" s="2"/>
      <c r="C950" s="2"/>
      <c r="D950" s="2"/>
      <c r="E950" s="2"/>
      <c r="F950" s="2"/>
    </row>
    <row r="951" spans="1:6" x14ac:dyDescent="0.3">
      <c r="A951" s="12"/>
      <c r="B951" s="2"/>
      <c r="C951" s="2"/>
      <c r="D951" s="2"/>
      <c r="E951" s="2"/>
      <c r="F951" s="2"/>
    </row>
    <row r="952" spans="1:6" x14ac:dyDescent="0.3">
      <c r="A952" s="12"/>
      <c r="B952" s="2"/>
      <c r="C952" s="2"/>
      <c r="D952" s="2"/>
      <c r="E952" s="2"/>
      <c r="F952" s="2"/>
    </row>
    <row r="953" spans="1:6" x14ac:dyDescent="0.3">
      <c r="A953" s="12"/>
      <c r="B953" s="2"/>
      <c r="C953" s="2"/>
      <c r="D953" s="2"/>
      <c r="E953" s="2"/>
      <c r="F953" s="2"/>
    </row>
    <row r="954" spans="1:6" x14ac:dyDescent="0.3">
      <c r="A954" s="12"/>
      <c r="B954" s="2"/>
      <c r="C954" s="2"/>
      <c r="D954" s="2"/>
      <c r="E954" s="2"/>
      <c r="F954" s="2"/>
    </row>
    <row r="955" spans="1:6" x14ac:dyDescent="0.3">
      <c r="A955" s="12"/>
      <c r="B955" s="2"/>
      <c r="C955" s="2"/>
      <c r="D955" s="2"/>
      <c r="E955" s="2"/>
      <c r="F955" s="2"/>
    </row>
    <row r="956" spans="1:6" x14ac:dyDescent="0.3">
      <c r="A956" s="12"/>
      <c r="B956" s="2"/>
      <c r="C956" s="2"/>
      <c r="D956" s="2"/>
      <c r="E956" s="2"/>
      <c r="F956" s="2"/>
    </row>
    <row r="957" spans="1:6" x14ac:dyDescent="0.3">
      <c r="A957" s="12"/>
      <c r="B957" s="2"/>
      <c r="C957" s="2"/>
      <c r="D957" s="2"/>
      <c r="E957" s="2"/>
      <c r="F957" s="2"/>
    </row>
    <row r="958" spans="1:6" x14ac:dyDescent="0.3">
      <c r="A958" s="12"/>
      <c r="B958" s="2"/>
      <c r="C958" s="2"/>
      <c r="D958" s="2"/>
      <c r="E958" s="2"/>
      <c r="F958" s="2"/>
    </row>
    <row r="959" spans="1:6" x14ac:dyDescent="0.3">
      <c r="A959" s="12"/>
      <c r="B959" s="2"/>
      <c r="C959" s="2"/>
      <c r="D959" s="2"/>
      <c r="E959" s="2"/>
      <c r="F959" s="2"/>
    </row>
    <row r="960" spans="1:6" x14ac:dyDescent="0.3">
      <c r="A960" s="12"/>
      <c r="B960" s="2"/>
      <c r="C960" s="2"/>
      <c r="D960" s="2"/>
      <c r="E960" s="2"/>
      <c r="F960" s="2"/>
    </row>
    <row r="961" spans="1:6" x14ac:dyDescent="0.3">
      <c r="A961" s="12"/>
      <c r="B961" s="2"/>
      <c r="C961" s="2"/>
      <c r="D961" s="2"/>
      <c r="E961" s="2"/>
      <c r="F961" s="2"/>
    </row>
    <row r="962" spans="1:6" x14ac:dyDescent="0.3">
      <c r="A962" s="12"/>
      <c r="B962" s="2"/>
      <c r="C962" s="2"/>
      <c r="D962" s="2"/>
      <c r="E962" s="2"/>
      <c r="F962" s="2"/>
    </row>
    <row r="963" spans="1:6" x14ac:dyDescent="0.3">
      <c r="A963" s="12"/>
      <c r="B963" s="2"/>
      <c r="C963" s="2"/>
      <c r="D963" s="2"/>
      <c r="E963" s="2"/>
      <c r="F963" s="2"/>
    </row>
    <row r="964" spans="1:6" x14ac:dyDescent="0.3">
      <c r="A964" s="12"/>
      <c r="B964" s="2"/>
      <c r="C964" s="2"/>
      <c r="D964" s="2"/>
      <c r="E964" s="2"/>
      <c r="F964" s="2"/>
    </row>
    <row r="965" spans="1:6" x14ac:dyDescent="0.3">
      <c r="A965" s="12"/>
      <c r="B965" s="2"/>
      <c r="C965" s="2"/>
      <c r="D965" s="2"/>
      <c r="E965" s="2"/>
      <c r="F965" s="2"/>
    </row>
    <row r="966" spans="1:6" x14ac:dyDescent="0.3">
      <c r="A966" s="12"/>
      <c r="B966" s="2"/>
      <c r="C966" s="2"/>
      <c r="D966" s="2"/>
      <c r="E966" s="2"/>
      <c r="F966" s="2"/>
    </row>
    <row r="967" spans="1:6" x14ac:dyDescent="0.3">
      <c r="A967" s="12"/>
      <c r="B967" s="2"/>
      <c r="C967" s="2"/>
      <c r="D967" s="2"/>
      <c r="E967" s="2"/>
      <c r="F967" s="2"/>
    </row>
    <row r="968" spans="1:6" x14ac:dyDescent="0.3">
      <c r="A968" s="12"/>
      <c r="B968" s="2"/>
      <c r="C968" s="2"/>
      <c r="D968" s="2"/>
      <c r="E968" s="2"/>
      <c r="F968" s="2"/>
    </row>
    <row r="969" spans="1:6" x14ac:dyDescent="0.3">
      <c r="A969" s="12"/>
      <c r="B969" s="2"/>
      <c r="C969" s="2"/>
      <c r="D969" s="2"/>
      <c r="E969" s="2"/>
      <c r="F969" s="2"/>
    </row>
    <row r="970" spans="1:6" x14ac:dyDescent="0.3">
      <c r="A970" s="12"/>
      <c r="B970" s="2"/>
      <c r="C970" s="2"/>
      <c r="D970" s="2"/>
      <c r="E970" s="2"/>
      <c r="F970" s="2"/>
    </row>
    <row r="971" spans="1:6" x14ac:dyDescent="0.3">
      <c r="A971" s="12"/>
      <c r="B971" s="2"/>
      <c r="C971" s="2"/>
      <c r="D971" s="2"/>
      <c r="E971" s="2"/>
      <c r="F971" s="2"/>
    </row>
    <row r="972" spans="1:6" x14ac:dyDescent="0.3">
      <c r="A972" s="12"/>
      <c r="B972" s="2"/>
      <c r="C972" s="2"/>
      <c r="D972" s="2"/>
      <c r="E972" s="2"/>
      <c r="F972" s="2"/>
    </row>
    <row r="973" spans="1:6" x14ac:dyDescent="0.3">
      <c r="A973" s="12"/>
      <c r="B973" s="2"/>
      <c r="C973" s="2"/>
      <c r="D973" s="2"/>
      <c r="E973" s="2"/>
      <c r="F973" s="2"/>
    </row>
    <row r="974" spans="1:6" x14ac:dyDescent="0.3">
      <c r="A974" s="12"/>
      <c r="B974" s="2"/>
      <c r="C974" s="2"/>
      <c r="D974" s="2"/>
      <c r="E974" s="2"/>
      <c r="F974" s="2"/>
    </row>
    <row r="975" spans="1:6" x14ac:dyDescent="0.3">
      <c r="A975" s="12"/>
      <c r="B975" s="2"/>
      <c r="C975" s="2"/>
      <c r="D975" s="2"/>
      <c r="E975" s="2"/>
      <c r="F975" s="2"/>
    </row>
    <row r="976" spans="1:6" x14ac:dyDescent="0.3">
      <c r="A976" s="12"/>
      <c r="B976" s="2"/>
      <c r="C976" s="2"/>
      <c r="D976" s="2"/>
      <c r="E976" s="2"/>
      <c r="F976" s="2"/>
    </row>
    <row r="977" spans="1:6" x14ac:dyDescent="0.3">
      <c r="A977" s="12"/>
      <c r="B977" s="2"/>
      <c r="C977" s="2"/>
      <c r="D977" s="2"/>
      <c r="E977" s="2"/>
      <c r="F977" s="2"/>
    </row>
    <row r="978" spans="1:6" x14ac:dyDescent="0.3">
      <c r="A978" s="12"/>
      <c r="B978" s="2"/>
      <c r="C978" s="2"/>
      <c r="D978" s="2"/>
      <c r="E978" s="2"/>
      <c r="F978" s="2"/>
    </row>
    <row r="979" spans="1:6" x14ac:dyDescent="0.3">
      <c r="A979" s="12"/>
      <c r="B979" s="2"/>
      <c r="C979" s="2"/>
      <c r="D979" s="2"/>
      <c r="E979" s="2"/>
      <c r="F979" s="2"/>
    </row>
    <row r="980" spans="1:6" x14ac:dyDescent="0.3">
      <c r="A980" s="12"/>
      <c r="B980" s="2"/>
      <c r="C980" s="2"/>
      <c r="D980" s="2"/>
      <c r="E980" s="2"/>
      <c r="F980" s="2"/>
    </row>
    <row r="981" spans="1:6" x14ac:dyDescent="0.3">
      <c r="A981" s="12"/>
      <c r="B981" s="2"/>
      <c r="C981" s="2"/>
      <c r="D981" s="2"/>
      <c r="E981" s="2"/>
      <c r="F981" s="2"/>
    </row>
    <row r="982" spans="1:6" x14ac:dyDescent="0.3">
      <c r="A982" s="12"/>
      <c r="B982" s="2"/>
      <c r="C982" s="2"/>
      <c r="D982" s="2"/>
      <c r="E982" s="2"/>
      <c r="F982" s="2"/>
    </row>
    <row r="983" spans="1:6" x14ac:dyDescent="0.3">
      <c r="A983" s="12"/>
      <c r="B983" s="2"/>
      <c r="C983" s="2"/>
      <c r="D983" s="2"/>
      <c r="E983" s="2"/>
      <c r="F983" s="2"/>
    </row>
    <row r="984" spans="1:6" x14ac:dyDescent="0.3">
      <c r="A984" s="12"/>
      <c r="B984" s="2"/>
      <c r="C984" s="2"/>
      <c r="D984" s="2"/>
      <c r="E984" s="2"/>
      <c r="F984" s="2"/>
    </row>
    <row r="985" spans="1:6" x14ac:dyDescent="0.3">
      <c r="A985" s="12"/>
      <c r="B985" s="2"/>
      <c r="C985" s="2"/>
      <c r="D985" s="2"/>
      <c r="E985" s="2"/>
      <c r="F985" s="2"/>
    </row>
    <row r="986" spans="1:6" x14ac:dyDescent="0.3">
      <c r="A986" s="12"/>
      <c r="B986" s="2"/>
      <c r="C986" s="2"/>
      <c r="D986" s="2"/>
      <c r="E986" s="2"/>
      <c r="F986" s="2"/>
    </row>
    <row r="987" spans="1:6" x14ac:dyDescent="0.3">
      <c r="A987" s="12"/>
      <c r="B987" s="2"/>
      <c r="C987" s="2"/>
      <c r="D987" s="2"/>
      <c r="E987" s="2"/>
      <c r="F987" s="2"/>
    </row>
    <row r="988" spans="1:6" x14ac:dyDescent="0.3">
      <c r="A988" s="12"/>
      <c r="B988" s="2"/>
      <c r="C988" s="2"/>
      <c r="D988" s="2"/>
      <c r="E988" s="2"/>
      <c r="F988" s="2"/>
    </row>
    <row r="989" spans="1:6" x14ac:dyDescent="0.3">
      <c r="A989" s="12"/>
      <c r="B989" s="2"/>
      <c r="C989" s="2"/>
      <c r="D989" s="2"/>
      <c r="E989" s="2"/>
      <c r="F989" s="2"/>
    </row>
    <row r="990" spans="1:6" x14ac:dyDescent="0.3">
      <c r="A990" s="12"/>
      <c r="B990" s="2"/>
      <c r="C990" s="2"/>
      <c r="D990" s="2"/>
      <c r="E990" s="2"/>
      <c r="F990" s="2"/>
    </row>
    <row r="991" spans="1:6" x14ac:dyDescent="0.3">
      <c r="A991" s="12"/>
      <c r="B991" s="2"/>
      <c r="C991" s="2"/>
      <c r="D991" s="2"/>
      <c r="E991" s="2"/>
      <c r="F991" s="2"/>
    </row>
    <row r="992" spans="1:6" x14ac:dyDescent="0.3">
      <c r="A992" s="12"/>
      <c r="B992" s="2"/>
      <c r="C992" s="2"/>
      <c r="D992" s="2"/>
      <c r="E992" s="2"/>
      <c r="F992" s="2"/>
    </row>
    <row r="993" spans="1:6" x14ac:dyDescent="0.3">
      <c r="A993" s="12"/>
      <c r="B993" s="2"/>
      <c r="C993" s="2"/>
      <c r="D993" s="2"/>
      <c r="E993" s="2"/>
      <c r="F993" s="2"/>
    </row>
    <row r="994" spans="1:6" x14ac:dyDescent="0.3">
      <c r="A994" s="12"/>
      <c r="B994" s="2"/>
      <c r="C994" s="2"/>
      <c r="D994" s="2"/>
      <c r="E994" s="2"/>
      <c r="F994" s="2"/>
    </row>
    <row r="995" spans="1:6" x14ac:dyDescent="0.3">
      <c r="A995" s="12"/>
      <c r="B995" s="2"/>
      <c r="C995" s="2"/>
      <c r="D995" s="2"/>
      <c r="E995" s="2"/>
      <c r="F995" s="2"/>
    </row>
    <row r="996" spans="1:6" x14ac:dyDescent="0.3">
      <c r="A996" s="12"/>
      <c r="B996" s="2"/>
      <c r="C996" s="2"/>
      <c r="D996" s="2"/>
      <c r="E996" s="2"/>
      <c r="F996" s="2"/>
    </row>
    <row r="997" spans="1:6" x14ac:dyDescent="0.3">
      <c r="A997" s="12"/>
      <c r="B997" s="2"/>
      <c r="C997" s="2"/>
      <c r="D997" s="2"/>
      <c r="E997" s="2"/>
      <c r="F997" s="2"/>
    </row>
    <row r="998" spans="1:6" x14ac:dyDescent="0.3">
      <c r="A998" s="12"/>
      <c r="B998" s="2"/>
      <c r="C998" s="2"/>
      <c r="D998" s="2"/>
      <c r="E998" s="2"/>
      <c r="F998" s="2"/>
    </row>
    <row r="999" spans="1:6" x14ac:dyDescent="0.3">
      <c r="A999" s="12"/>
      <c r="B999" s="2"/>
      <c r="C999" s="2"/>
      <c r="D999" s="2"/>
      <c r="E999" s="2"/>
      <c r="F999" s="2"/>
    </row>
    <row r="1000" spans="1:6" x14ac:dyDescent="0.3">
      <c r="A1000" s="12"/>
      <c r="B1000" s="2"/>
      <c r="C1000" s="2"/>
      <c r="D1000" s="2"/>
      <c r="E1000" s="2"/>
      <c r="F1000" s="2"/>
    </row>
    <row r="1001" spans="1:6" x14ac:dyDescent="0.3">
      <c r="A1001" s="12"/>
      <c r="B1001" s="2"/>
      <c r="C1001" s="2"/>
      <c r="D1001" s="2"/>
      <c r="E1001" s="2"/>
      <c r="F1001" s="2"/>
    </row>
    <row r="1002" spans="1:6" x14ac:dyDescent="0.3">
      <c r="A1002" s="12"/>
      <c r="B1002" s="2"/>
      <c r="C1002" s="2"/>
      <c r="D1002" s="2"/>
      <c r="E1002" s="2"/>
      <c r="F1002" s="2"/>
    </row>
    <row r="1003" spans="1:6" x14ac:dyDescent="0.3">
      <c r="A1003" s="12"/>
      <c r="B1003" s="2"/>
      <c r="C1003" s="2"/>
      <c r="D1003" s="2"/>
      <c r="E1003" s="2"/>
      <c r="F1003" s="2"/>
    </row>
    <row r="1004" spans="1:6" x14ac:dyDescent="0.3">
      <c r="A1004" s="12"/>
      <c r="B1004" s="2"/>
      <c r="C1004" s="2"/>
      <c r="D1004" s="2"/>
      <c r="E1004" s="2"/>
      <c r="F1004" s="2"/>
    </row>
    <row r="1005" spans="1:6" x14ac:dyDescent="0.3">
      <c r="A1005" s="12"/>
      <c r="B1005" s="2"/>
      <c r="C1005" s="2"/>
      <c r="D1005" s="2"/>
      <c r="E1005" s="2"/>
      <c r="F1005" s="2"/>
    </row>
    <row r="1006" spans="1:6" x14ac:dyDescent="0.3">
      <c r="A1006" s="12"/>
      <c r="B1006" s="2"/>
      <c r="C1006" s="2"/>
      <c r="D1006" s="2"/>
      <c r="E1006" s="2"/>
      <c r="F1006" s="2"/>
    </row>
    <row r="1007" spans="1:6" x14ac:dyDescent="0.3">
      <c r="A1007" s="12"/>
      <c r="B1007" s="2"/>
      <c r="C1007" s="2"/>
      <c r="D1007" s="2"/>
      <c r="E1007" s="2"/>
      <c r="F1007" s="2"/>
    </row>
    <row r="1008" spans="1:6" x14ac:dyDescent="0.3">
      <c r="A1008" s="12"/>
      <c r="B1008" s="2"/>
      <c r="C1008" s="2"/>
      <c r="D1008" s="2"/>
      <c r="E1008" s="2"/>
      <c r="F1008" s="2"/>
    </row>
    <row r="1009" spans="1:6" x14ac:dyDescent="0.3">
      <c r="A1009" s="12"/>
      <c r="B1009" s="2"/>
      <c r="C1009" s="2"/>
      <c r="D1009" s="2"/>
      <c r="E1009" s="2"/>
      <c r="F1009" s="2"/>
    </row>
    <row r="1010" spans="1:6" x14ac:dyDescent="0.3">
      <c r="A1010" s="12"/>
      <c r="B1010" s="2"/>
      <c r="C1010" s="2"/>
      <c r="D1010" s="2"/>
      <c r="E1010" s="2"/>
      <c r="F1010" s="2"/>
    </row>
    <row r="1011" spans="1:6" x14ac:dyDescent="0.3">
      <c r="A1011" s="12"/>
      <c r="B1011" s="2"/>
      <c r="C1011" s="2"/>
      <c r="D1011" s="2"/>
      <c r="E1011" s="2"/>
      <c r="F1011" s="2"/>
    </row>
    <row r="1012" spans="1:6" x14ac:dyDescent="0.3">
      <c r="A1012" s="12"/>
      <c r="B1012" s="2"/>
      <c r="C1012" s="2"/>
      <c r="D1012" s="2"/>
      <c r="E1012" s="2"/>
      <c r="F1012" s="2"/>
    </row>
    <row r="1013" spans="1:6" x14ac:dyDescent="0.3">
      <c r="A1013" s="12"/>
      <c r="B1013" s="2"/>
      <c r="C1013" s="2"/>
      <c r="D1013" s="2"/>
      <c r="E1013" s="2"/>
      <c r="F1013" s="2"/>
    </row>
    <row r="1014" spans="1:6" x14ac:dyDescent="0.3">
      <c r="A1014" s="12"/>
      <c r="B1014" s="2"/>
      <c r="C1014" s="2"/>
      <c r="D1014" s="2"/>
      <c r="E1014" s="2"/>
      <c r="F1014" s="2"/>
    </row>
    <row r="1015" spans="1:6" x14ac:dyDescent="0.3">
      <c r="A1015" s="12"/>
      <c r="B1015" s="2"/>
      <c r="C1015" s="2"/>
      <c r="D1015" s="2"/>
      <c r="E1015" s="2"/>
      <c r="F1015" s="2"/>
    </row>
    <row r="1016" spans="1:6" x14ac:dyDescent="0.3">
      <c r="A1016" s="12"/>
      <c r="B1016" s="2"/>
      <c r="C1016" s="2"/>
      <c r="D1016" s="2"/>
      <c r="E1016" s="2"/>
      <c r="F1016" s="2"/>
    </row>
    <row r="1017" spans="1:6" x14ac:dyDescent="0.3">
      <c r="A1017" s="12"/>
      <c r="B1017" s="2"/>
      <c r="C1017" s="2"/>
      <c r="D1017" s="2"/>
      <c r="E1017" s="2"/>
      <c r="F1017" s="2"/>
    </row>
    <row r="1018" spans="1:6" x14ac:dyDescent="0.3">
      <c r="A1018" s="12"/>
      <c r="B1018" s="2"/>
      <c r="C1018" s="2"/>
      <c r="D1018" s="2"/>
      <c r="E1018" s="2"/>
      <c r="F1018" s="2"/>
    </row>
    <row r="1019" spans="1:6" x14ac:dyDescent="0.3">
      <c r="A1019" s="12"/>
      <c r="B1019" s="2"/>
      <c r="C1019" s="2"/>
      <c r="D1019" s="2"/>
      <c r="E1019" s="2"/>
      <c r="F1019" s="2"/>
    </row>
    <row r="1020" spans="1:6" x14ac:dyDescent="0.3">
      <c r="A1020" s="12"/>
      <c r="B1020" s="2"/>
      <c r="C1020" s="2"/>
      <c r="D1020" s="2"/>
      <c r="E1020" s="2"/>
      <c r="F1020" s="2"/>
    </row>
    <row r="1021" spans="1:6" x14ac:dyDescent="0.3">
      <c r="A1021" s="12"/>
      <c r="B1021" s="2"/>
      <c r="C1021" s="2"/>
      <c r="D1021" s="2"/>
      <c r="E1021" s="2"/>
      <c r="F1021" s="2"/>
    </row>
    <row r="1022" spans="1:6" x14ac:dyDescent="0.3">
      <c r="A1022" s="12"/>
      <c r="B1022" s="2"/>
      <c r="C1022" s="2"/>
      <c r="D1022" s="2"/>
      <c r="E1022" s="2"/>
      <c r="F1022" s="2"/>
    </row>
    <row r="1023" spans="1:6" x14ac:dyDescent="0.3">
      <c r="A1023" s="12"/>
      <c r="B1023" s="2"/>
      <c r="C1023" s="2"/>
      <c r="D1023" s="2"/>
      <c r="E1023" s="2"/>
      <c r="F1023" s="2"/>
    </row>
    <row r="1024" spans="1:6" x14ac:dyDescent="0.3">
      <c r="A1024" s="12"/>
      <c r="B1024" s="2"/>
      <c r="C1024" s="2"/>
      <c r="D1024" s="2"/>
      <c r="E1024" s="2"/>
      <c r="F1024" s="2"/>
    </row>
    <row r="1025" spans="1:6" x14ac:dyDescent="0.3">
      <c r="A1025" s="12"/>
      <c r="B1025" s="2"/>
      <c r="C1025" s="2"/>
      <c r="D1025" s="2"/>
      <c r="E1025" s="2"/>
      <c r="F1025" s="2"/>
    </row>
    <row r="1026" spans="1:6" x14ac:dyDescent="0.3">
      <c r="A1026" s="12"/>
      <c r="B1026" s="2"/>
      <c r="C1026" s="2"/>
      <c r="D1026" s="2"/>
      <c r="E1026" s="2"/>
      <c r="F1026" s="2"/>
    </row>
    <row r="1027" spans="1:6" x14ac:dyDescent="0.3">
      <c r="A1027" s="12"/>
      <c r="B1027" s="2"/>
      <c r="C1027" s="2"/>
      <c r="D1027" s="2"/>
      <c r="E1027" s="2"/>
      <c r="F1027" s="2"/>
    </row>
    <row r="1028" spans="1:6" x14ac:dyDescent="0.3">
      <c r="A1028" s="12"/>
      <c r="B1028" s="2"/>
      <c r="C1028" s="2"/>
      <c r="D1028" s="2"/>
      <c r="E1028" s="2"/>
      <c r="F1028" s="2"/>
    </row>
    <row r="1029" spans="1:6" x14ac:dyDescent="0.3">
      <c r="A1029" s="12"/>
      <c r="B1029" s="2"/>
      <c r="C1029" s="2"/>
      <c r="D1029" s="2"/>
      <c r="E1029" s="2"/>
      <c r="F1029" s="2"/>
    </row>
    <row r="1030" spans="1:6" x14ac:dyDescent="0.3">
      <c r="A1030" s="12"/>
      <c r="B1030" s="2"/>
      <c r="C1030" s="2"/>
      <c r="D1030" s="2"/>
      <c r="E1030" s="2"/>
      <c r="F1030" s="2"/>
    </row>
    <row r="1031" spans="1:6" x14ac:dyDescent="0.3">
      <c r="A1031" s="12"/>
      <c r="B1031" s="2"/>
      <c r="C1031" s="2"/>
      <c r="D1031" s="2"/>
      <c r="E1031" s="2"/>
      <c r="F1031" s="2"/>
    </row>
    <row r="1032" spans="1:6" x14ac:dyDescent="0.3">
      <c r="A1032" s="12"/>
      <c r="B1032" s="2"/>
      <c r="C1032" s="2"/>
      <c r="D1032" s="2"/>
      <c r="E1032" s="2"/>
      <c r="F1032" s="2"/>
    </row>
    <row r="1033" spans="1:6" x14ac:dyDescent="0.3">
      <c r="A1033" s="12"/>
      <c r="B1033" s="2"/>
      <c r="C1033" s="2"/>
      <c r="D1033" s="2"/>
      <c r="E1033" s="2"/>
      <c r="F1033" s="2"/>
    </row>
    <row r="1034" spans="1:6" x14ac:dyDescent="0.3">
      <c r="A1034" s="12"/>
      <c r="B1034" s="2"/>
      <c r="C1034" s="2"/>
      <c r="D1034" s="2"/>
      <c r="E1034" s="2"/>
      <c r="F1034" s="2"/>
    </row>
    <row r="1035" spans="1:6" x14ac:dyDescent="0.3">
      <c r="A1035" s="12"/>
      <c r="B1035" s="2"/>
      <c r="C1035" s="2"/>
      <c r="D1035" s="2"/>
      <c r="E1035" s="2"/>
      <c r="F1035" s="2"/>
    </row>
    <row r="1036" spans="1:6" x14ac:dyDescent="0.3">
      <c r="A1036" s="12"/>
      <c r="B1036" s="2"/>
      <c r="C1036" s="2"/>
      <c r="D1036" s="2"/>
      <c r="E1036" s="2"/>
      <c r="F1036" s="2"/>
    </row>
    <row r="1037" spans="1:6" x14ac:dyDescent="0.3">
      <c r="A1037" s="12"/>
      <c r="B1037" s="2"/>
      <c r="C1037" s="2"/>
      <c r="D1037" s="2"/>
      <c r="E1037" s="2"/>
      <c r="F1037" s="2"/>
    </row>
    <row r="1038" spans="1:6" x14ac:dyDescent="0.3">
      <c r="A1038" s="12"/>
      <c r="B1038" s="2"/>
      <c r="C1038" s="2"/>
      <c r="D1038" s="2"/>
      <c r="E1038" s="2"/>
      <c r="F1038" s="2"/>
    </row>
    <row r="1039" spans="1:6" x14ac:dyDescent="0.3">
      <c r="A1039" s="12"/>
      <c r="B1039" s="2"/>
      <c r="C1039" s="2"/>
      <c r="D1039" s="2"/>
      <c r="E1039" s="2"/>
      <c r="F1039" s="2"/>
    </row>
    <row r="1040" spans="1:6" x14ac:dyDescent="0.3">
      <c r="A1040" s="12"/>
      <c r="B1040" s="2"/>
      <c r="C1040" s="2"/>
      <c r="D1040" s="2"/>
      <c r="E1040" s="2"/>
      <c r="F1040" s="2"/>
    </row>
    <row r="1041" spans="1:6" x14ac:dyDescent="0.3">
      <c r="A1041" s="12"/>
      <c r="B1041" s="2"/>
      <c r="C1041" s="2"/>
      <c r="D1041" s="2"/>
      <c r="E1041" s="2"/>
      <c r="F1041" s="2"/>
    </row>
    <row r="1042" spans="1:6" x14ac:dyDescent="0.3">
      <c r="A1042" s="12"/>
      <c r="B1042" s="2"/>
      <c r="C1042" s="2"/>
      <c r="D1042" s="2"/>
      <c r="E1042" s="2"/>
      <c r="F1042" s="2"/>
    </row>
    <row r="1043" spans="1:6" x14ac:dyDescent="0.3">
      <c r="A1043" s="12"/>
      <c r="B1043" s="2"/>
      <c r="C1043" s="2"/>
      <c r="D1043" s="2"/>
      <c r="E1043" s="2"/>
      <c r="F1043" s="2"/>
    </row>
    <row r="1044" spans="1:6" x14ac:dyDescent="0.3">
      <c r="A1044" s="12"/>
      <c r="B1044" s="2"/>
      <c r="C1044" s="2"/>
      <c r="D1044" s="2"/>
      <c r="E1044" s="2"/>
      <c r="F1044" s="2"/>
    </row>
    <row r="1045" spans="1:6" x14ac:dyDescent="0.3">
      <c r="A1045" s="12"/>
      <c r="B1045" s="2"/>
      <c r="C1045" s="2"/>
      <c r="D1045" s="2"/>
      <c r="E1045" s="2"/>
      <c r="F1045" s="2"/>
    </row>
    <row r="1046" spans="1:6" x14ac:dyDescent="0.3">
      <c r="A1046" s="12"/>
      <c r="B1046" s="2"/>
      <c r="C1046" s="2"/>
      <c r="D1046" s="2"/>
      <c r="E1046" s="2"/>
      <c r="F1046" s="2"/>
    </row>
    <row r="1047" spans="1:6" x14ac:dyDescent="0.3">
      <c r="A1047" s="12"/>
      <c r="B1047" s="2"/>
      <c r="C1047" s="2"/>
      <c r="D1047" s="2"/>
      <c r="E1047" s="2"/>
      <c r="F1047" s="2"/>
    </row>
    <row r="1048" spans="1:6" x14ac:dyDescent="0.3">
      <c r="A1048" s="12"/>
      <c r="B1048" s="2"/>
      <c r="C1048" s="2"/>
      <c r="D1048" s="2"/>
      <c r="E1048" s="2"/>
      <c r="F1048" s="2"/>
    </row>
    <row r="1049" spans="1:6" x14ac:dyDescent="0.3">
      <c r="A1049" s="12"/>
      <c r="B1049" s="2"/>
      <c r="C1049" s="2"/>
      <c r="D1049" s="2"/>
      <c r="E1049" s="2"/>
      <c r="F1049" s="2"/>
    </row>
    <row r="1050" spans="1:6" x14ac:dyDescent="0.3">
      <c r="A1050" s="12"/>
      <c r="B1050" s="2"/>
      <c r="C1050" s="2"/>
      <c r="D1050" s="2"/>
      <c r="E1050" s="2"/>
      <c r="F1050" s="2"/>
    </row>
    <row r="1051" spans="1:6" x14ac:dyDescent="0.3">
      <c r="A1051" s="12"/>
      <c r="B1051" s="2"/>
      <c r="C1051" s="2"/>
      <c r="D1051" s="2"/>
      <c r="E1051" s="2"/>
      <c r="F1051" s="2"/>
    </row>
    <row r="1052" spans="1:6" x14ac:dyDescent="0.3">
      <c r="A1052" s="12"/>
      <c r="B1052" s="2"/>
      <c r="C1052" s="2"/>
      <c r="D1052" s="2"/>
      <c r="E1052" s="2"/>
      <c r="F1052" s="2"/>
    </row>
    <row r="1053" spans="1:6" x14ac:dyDescent="0.3">
      <c r="A1053" s="12"/>
      <c r="B1053" s="2"/>
      <c r="C1053" s="2"/>
      <c r="D1053" s="2"/>
      <c r="E1053" s="2"/>
      <c r="F1053" s="2"/>
    </row>
    <row r="1054" spans="1:6" x14ac:dyDescent="0.3">
      <c r="A1054" s="12"/>
      <c r="B1054" s="2"/>
      <c r="C1054" s="2"/>
      <c r="D1054" s="2"/>
      <c r="E1054" s="2"/>
      <c r="F1054" s="2"/>
    </row>
    <row r="1055" spans="1:6" x14ac:dyDescent="0.3">
      <c r="A1055" s="12"/>
      <c r="B1055" s="2"/>
      <c r="C1055" s="2"/>
      <c r="D1055" s="2"/>
      <c r="E1055" s="2"/>
      <c r="F1055" s="2"/>
    </row>
    <row r="1056" spans="1:6" x14ac:dyDescent="0.3">
      <c r="A1056" s="12"/>
      <c r="B1056" s="2"/>
      <c r="C1056" s="2"/>
      <c r="D1056" s="2"/>
      <c r="E1056" s="2"/>
      <c r="F1056" s="2"/>
    </row>
    <row r="1057" spans="1:6" x14ac:dyDescent="0.3">
      <c r="A1057" s="12"/>
      <c r="B1057" s="2"/>
      <c r="C1057" s="2"/>
      <c r="D1057" s="2"/>
      <c r="E1057" s="2"/>
      <c r="F1057" s="2"/>
    </row>
    <row r="1058" spans="1:6" x14ac:dyDescent="0.3">
      <c r="A1058" s="12"/>
      <c r="B1058" s="2"/>
      <c r="C1058" s="2"/>
      <c r="D1058" s="2"/>
      <c r="E1058" s="2"/>
      <c r="F1058" s="2"/>
    </row>
    <row r="1059" spans="1:6" x14ac:dyDescent="0.3">
      <c r="A1059" s="12"/>
      <c r="B1059" s="2"/>
      <c r="C1059" s="2"/>
      <c r="D1059" s="2"/>
      <c r="E1059" s="2"/>
      <c r="F1059" s="2"/>
    </row>
    <row r="1060" spans="1:6" x14ac:dyDescent="0.3">
      <c r="A1060" s="12"/>
      <c r="B1060" s="2"/>
      <c r="C1060" s="2"/>
      <c r="D1060" s="2"/>
      <c r="E1060" s="2"/>
      <c r="F1060" s="2"/>
    </row>
    <row r="1061" spans="1:6" x14ac:dyDescent="0.3">
      <c r="A1061" s="12"/>
      <c r="B1061" s="2"/>
      <c r="C1061" s="2"/>
      <c r="D1061" s="2"/>
      <c r="E1061" s="2"/>
      <c r="F1061" s="2"/>
    </row>
    <row r="1062" spans="1:6" x14ac:dyDescent="0.3">
      <c r="A1062" s="12"/>
      <c r="B1062" s="2"/>
      <c r="C1062" s="2"/>
      <c r="D1062" s="2"/>
      <c r="E1062" s="2"/>
      <c r="F1062" s="2"/>
    </row>
    <row r="1063" spans="1:6" x14ac:dyDescent="0.3">
      <c r="A1063" s="12"/>
      <c r="B1063" s="2"/>
      <c r="C1063" s="2"/>
      <c r="D1063" s="2"/>
      <c r="E1063" s="2"/>
      <c r="F1063" s="2"/>
    </row>
    <row r="1064" spans="1:6" x14ac:dyDescent="0.3">
      <c r="A1064" s="12"/>
      <c r="B1064" s="2"/>
      <c r="C1064" s="2"/>
      <c r="D1064" s="2"/>
      <c r="E1064" s="2"/>
      <c r="F1064" s="2"/>
    </row>
    <row r="1065" spans="1:6" x14ac:dyDescent="0.3">
      <c r="A1065" s="12"/>
      <c r="B1065" s="2"/>
      <c r="C1065" s="2"/>
      <c r="D1065" s="2"/>
      <c r="E1065" s="2"/>
      <c r="F1065" s="2"/>
    </row>
    <row r="1066" spans="1:6" x14ac:dyDescent="0.3">
      <c r="A1066" s="12"/>
      <c r="B1066" s="2"/>
      <c r="C1066" s="2"/>
      <c r="D1066" s="2"/>
      <c r="E1066" s="2"/>
      <c r="F1066" s="2"/>
    </row>
    <row r="1067" spans="1:6" x14ac:dyDescent="0.3">
      <c r="A1067" s="12"/>
      <c r="B1067" s="2"/>
      <c r="C1067" s="2"/>
      <c r="D1067" s="2"/>
      <c r="E1067" s="2"/>
      <c r="F1067" s="2"/>
    </row>
    <row r="1068" spans="1:6" x14ac:dyDescent="0.3">
      <c r="A1068" s="12"/>
      <c r="B1068" s="2"/>
      <c r="C1068" s="2"/>
      <c r="D1068" s="2"/>
      <c r="E1068" s="2"/>
      <c r="F1068" s="2"/>
    </row>
    <row r="1069" spans="1:6" x14ac:dyDescent="0.3">
      <c r="A1069" s="12"/>
      <c r="B1069" s="2"/>
      <c r="C1069" s="2"/>
      <c r="D1069" s="2"/>
      <c r="E1069" s="2"/>
      <c r="F1069" s="2"/>
    </row>
    <row r="1070" spans="1:6" x14ac:dyDescent="0.3">
      <c r="A1070" s="12"/>
      <c r="B1070" s="2"/>
      <c r="C1070" s="2"/>
      <c r="D1070" s="2"/>
      <c r="E1070" s="2"/>
      <c r="F1070" s="2"/>
    </row>
    <row r="1071" spans="1:6" x14ac:dyDescent="0.3">
      <c r="A1071" s="12"/>
      <c r="B1071" s="2"/>
      <c r="C1071" s="2"/>
      <c r="D1071" s="2"/>
      <c r="E1071" s="2"/>
      <c r="F1071" s="2"/>
    </row>
    <row r="1072" spans="1:6" x14ac:dyDescent="0.3">
      <c r="A1072" s="12"/>
      <c r="B1072" s="2"/>
      <c r="C1072" s="2"/>
      <c r="D1072" s="2"/>
      <c r="E1072" s="2"/>
      <c r="F1072" s="2"/>
    </row>
    <row r="1073" spans="1:6" x14ac:dyDescent="0.3">
      <c r="A1073" s="12"/>
      <c r="B1073" s="2"/>
      <c r="C1073" s="2"/>
      <c r="D1073" s="2"/>
      <c r="E1073" s="2"/>
      <c r="F1073" s="2"/>
    </row>
    <row r="1074" spans="1:6" x14ac:dyDescent="0.3">
      <c r="A1074" s="12"/>
      <c r="B1074" s="2"/>
      <c r="C1074" s="2"/>
      <c r="D1074" s="2"/>
      <c r="E1074" s="2"/>
      <c r="F1074" s="2"/>
    </row>
    <row r="1075" spans="1:6" x14ac:dyDescent="0.3">
      <c r="A1075" s="12"/>
      <c r="B1075" s="2"/>
      <c r="C1075" s="2"/>
      <c r="D1075" s="2"/>
      <c r="E1075" s="2"/>
      <c r="F1075" s="2"/>
    </row>
    <row r="1076" spans="1:6" x14ac:dyDescent="0.3">
      <c r="A1076" s="12"/>
      <c r="B1076" s="2"/>
      <c r="C1076" s="2"/>
      <c r="D1076" s="2"/>
      <c r="E1076" s="2"/>
      <c r="F1076" s="2"/>
    </row>
    <row r="1077" spans="1:6" x14ac:dyDescent="0.3">
      <c r="A1077" s="12"/>
      <c r="B1077" s="2"/>
      <c r="C1077" s="2"/>
      <c r="D1077" s="2"/>
      <c r="E1077" s="2"/>
      <c r="F1077" s="2"/>
    </row>
    <row r="1078" spans="1:6" x14ac:dyDescent="0.3">
      <c r="A1078" s="12"/>
      <c r="B1078" s="2"/>
      <c r="C1078" s="2"/>
      <c r="D1078" s="2"/>
      <c r="E1078" s="2"/>
      <c r="F1078" s="2"/>
    </row>
    <row r="1079" spans="1:6" x14ac:dyDescent="0.3">
      <c r="A1079" s="12"/>
      <c r="B1079" s="2"/>
      <c r="C1079" s="2"/>
      <c r="D1079" s="2"/>
      <c r="E1079" s="2"/>
      <c r="F1079" s="2"/>
    </row>
    <row r="1080" spans="1:6" x14ac:dyDescent="0.3">
      <c r="A1080" s="12"/>
      <c r="B1080" s="2"/>
      <c r="C1080" s="2"/>
      <c r="D1080" s="2"/>
      <c r="E1080" s="2"/>
      <c r="F1080" s="2"/>
    </row>
    <row r="1081" spans="1:6" x14ac:dyDescent="0.3">
      <c r="A1081" s="12"/>
      <c r="B1081" s="2"/>
      <c r="C1081" s="2"/>
      <c r="D1081" s="2"/>
      <c r="E1081" s="2"/>
      <c r="F1081" s="2"/>
    </row>
    <row r="1082" spans="1:6" x14ac:dyDescent="0.3">
      <c r="A1082" s="12"/>
      <c r="B1082" s="2"/>
      <c r="C1082" s="2"/>
      <c r="D1082" s="2"/>
      <c r="E1082" s="2"/>
      <c r="F1082" s="2"/>
    </row>
    <row r="1083" spans="1:6" x14ac:dyDescent="0.3">
      <c r="A1083" s="12"/>
      <c r="B1083" s="2"/>
      <c r="C1083" s="2"/>
      <c r="D1083" s="2"/>
      <c r="E1083" s="2"/>
      <c r="F1083" s="2"/>
    </row>
    <row r="1084" spans="1:6" x14ac:dyDescent="0.3">
      <c r="A1084" s="12"/>
      <c r="B1084" s="2"/>
      <c r="C1084" s="2"/>
      <c r="D1084" s="2"/>
      <c r="E1084" s="2"/>
      <c r="F1084" s="2"/>
    </row>
    <row r="1085" spans="1:6" x14ac:dyDescent="0.3">
      <c r="A1085" s="12"/>
      <c r="B1085" s="2"/>
      <c r="C1085" s="2"/>
      <c r="D1085" s="2"/>
      <c r="E1085" s="2"/>
      <c r="F1085" s="2"/>
    </row>
    <row r="1086" spans="1:6" x14ac:dyDescent="0.3">
      <c r="A1086" s="12"/>
      <c r="B1086" s="2"/>
      <c r="C1086" s="2"/>
      <c r="D1086" s="2"/>
      <c r="E1086" s="2"/>
      <c r="F1086" s="2"/>
    </row>
    <row r="1087" spans="1:6" x14ac:dyDescent="0.3">
      <c r="A1087" s="12"/>
      <c r="B1087" s="2"/>
      <c r="C1087" s="2"/>
      <c r="D1087" s="2"/>
      <c r="E1087" s="2"/>
      <c r="F1087" s="2"/>
    </row>
    <row r="1088" spans="1:6" x14ac:dyDescent="0.3">
      <c r="A1088" s="12"/>
      <c r="B1088" s="2"/>
      <c r="C1088" s="2"/>
      <c r="D1088" s="2"/>
      <c r="E1088" s="2"/>
      <c r="F1088" s="2"/>
    </row>
    <row r="1089" spans="1:6" x14ac:dyDescent="0.3">
      <c r="A1089" s="12"/>
      <c r="B1089" s="2"/>
      <c r="C1089" s="2"/>
      <c r="D1089" s="2"/>
      <c r="E1089" s="2"/>
      <c r="F1089" s="2"/>
    </row>
    <row r="1090" spans="1:6" x14ac:dyDescent="0.3">
      <c r="A1090" s="12"/>
      <c r="B1090" s="2"/>
      <c r="C1090" s="2"/>
      <c r="D1090" s="2"/>
      <c r="E1090" s="2"/>
      <c r="F1090" s="2"/>
    </row>
    <row r="1091" spans="1:6" x14ac:dyDescent="0.3">
      <c r="A1091" s="12"/>
      <c r="B1091" s="2"/>
      <c r="C1091" s="2"/>
      <c r="D1091" s="2"/>
      <c r="E1091" s="2"/>
      <c r="F1091" s="2"/>
    </row>
    <row r="1092" spans="1:6" x14ac:dyDescent="0.3">
      <c r="A1092" s="12"/>
      <c r="B1092" s="2"/>
      <c r="C1092" s="2"/>
      <c r="D1092" s="2"/>
      <c r="E1092" s="2"/>
      <c r="F1092" s="2"/>
    </row>
    <row r="1093" spans="1:6" x14ac:dyDescent="0.3">
      <c r="A1093" s="12"/>
      <c r="B1093" s="2"/>
      <c r="C1093" s="2"/>
      <c r="D1093" s="2"/>
      <c r="E1093" s="2"/>
      <c r="F1093" s="2"/>
    </row>
    <row r="1094" spans="1:6" x14ac:dyDescent="0.3">
      <c r="A1094" s="12"/>
      <c r="B1094" s="2"/>
      <c r="C1094" s="2"/>
      <c r="D1094" s="2"/>
      <c r="E1094" s="2"/>
      <c r="F1094" s="2"/>
    </row>
    <row r="1095" spans="1:6" x14ac:dyDescent="0.3">
      <c r="A1095" s="12"/>
      <c r="B1095" s="2"/>
      <c r="C1095" s="2"/>
      <c r="D1095" s="2"/>
      <c r="E1095" s="2"/>
      <c r="F1095" s="2"/>
    </row>
    <row r="1096" spans="1:6" x14ac:dyDescent="0.3">
      <c r="A1096" s="12"/>
      <c r="B1096" s="2"/>
      <c r="C1096" s="2"/>
      <c r="D1096" s="2"/>
      <c r="E1096" s="2"/>
      <c r="F1096" s="2"/>
    </row>
    <row r="1097" spans="1:6" x14ac:dyDescent="0.3">
      <c r="A1097" s="12"/>
      <c r="B1097" s="2"/>
      <c r="C1097" s="2"/>
      <c r="D1097" s="2"/>
      <c r="E1097" s="2"/>
      <c r="F1097" s="2"/>
    </row>
    <row r="1098" spans="1:6" x14ac:dyDescent="0.3">
      <c r="A1098" s="12"/>
      <c r="B1098" s="2"/>
      <c r="C1098" s="2"/>
      <c r="D1098" s="2"/>
      <c r="E1098" s="2"/>
      <c r="F1098" s="2"/>
    </row>
    <row r="1099" spans="1:6" x14ac:dyDescent="0.3">
      <c r="A1099" s="12"/>
      <c r="B1099" s="2"/>
      <c r="C1099" s="2"/>
      <c r="D1099" s="2"/>
      <c r="E1099" s="2"/>
      <c r="F1099" s="2"/>
    </row>
    <row r="1100" spans="1:6" x14ac:dyDescent="0.3">
      <c r="A1100" s="12"/>
      <c r="B1100" s="2"/>
      <c r="C1100" s="2"/>
      <c r="D1100" s="2"/>
      <c r="E1100" s="2"/>
      <c r="F1100" s="2"/>
    </row>
    <row r="1101" spans="1:6" x14ac:dyDescent="0.3">
      <c r="A1101" s="12"/>
      <c r="B1101" s="2"/>
      <c r="C1101" s="2"/>
      <c r="D1101" s="2"/>
      <c r="E1101" s="2"/>
      <c r="F1101" s="2"/>
    </row>
    <row r="1102" spans="1:6" x14ac:dyDescent="0.3">
      <c r="A1102" s="12"/>
      <c r="B1102" s="2"/>
      <c r="C1102" s="2"/>
      <c r="D1102" s="2"/>
      <c r="E1102" s="2"/>
      <c r="F1102" s="2"/>
    </row>
    <row r="1103" spans="1:6" x14ac:dyDescent="0.3">
      <c r="A1103" s="12"/>
      <c r="B1103" s="2"/>
      <c r="C1103" s="2"/>
      <c r="D1103" s="2"/>
      <c r="E1103" s="2"/>
      <c r="F1103" s="2"/>
    </row>
    <row r="1104" spans="1:6" x14ac:dyDescent="0.3">
      <c r="A1104" s="12"/>
      <c r="B1104" s="2"/>
      <c r="C1104" s="2"/>
      <c r="D1104" s="2"/>
      <c r="E1104" s="2"/>
      <c r="F1104" s="2"/>
    </row>
    <row r="1105" spans="1:6" x14ac:dyDescent="0.3">
      <c r="A1105" s="12"/>
      <c r="B1105" s="2"/>
      <c r="C1105" s="2"/>
      <c r="D1105" s="2"/>
      <c r="E1105" s="2"/>
      <c r="F1105" s="2"/>
    </row>
    <row r="1106" spans="1:6" x14ac:dyDescent="0.3">
      <c r="A1106" s="12"/>
      <c r="B1106" s="2"/>
      <c r="C1106" s="2"/>
      <c r="D1106" s="2"/>
      <c r="E1106" s="2"/>
      <c r="F1106" s="2"/>
    </row>
    <row r="1107" spans="1:6" x14ac:dyDescent="0.3">
      <c r="A1107" s="12"/>
      <c r="B1107" s="2"/>
      <c r="C1107" s="2"/>
      <c r="D1107" s="2"/>
      <c r="E1107" s="2"/>
      <c r="F1107" s="2"/>
    </row>
    <row r="1108" spans="1:6" x14ac:dyDescent="0.3">
      <c r="A1108" s="12"/>
      <c r="B1108" s="2"/>
      <c r="C1108" s="2"/>
      <c r="D1108" s="2"/>
      <c r="E1108" s="2"/>
      <c r="F1108" s="2"/>
    </row>
    <row r="1109" spans="1:6" x14ac:dyDescent="0.3">
      <c r="A1109" s="12"/>
      <c r="B1109" s="2"/>
      <c r="C1109" s="2"/>
      <c r="D1109" s="2"/>
      <c r="E1109" s="2"/>
      <c r="F1109" s="2"/>
    </row>
    <row r="1110" spans="1:6" x14ac:dyDescent="0.3">
      <c r="A1110" s="12"/>
      <c r="B1110" s="2"/>
      <c r="C1110" s="2"/>
      <c r="D1110" s="2"/>
      <c r="E1110" s="2"/>
      <c r="F1110" s="2"/>
    </row>
    <row r="1111" spans="1:6" x14ac:dyDescent="0.3">
      <c r="A1111" s="12"/>
      <c r="B1111" s="2"/>
      <c r="C1111" s="2"/>
      <c r="D1111" s="2"/>
      <c r="E1111" s="2"/>
      <c r="F1111" s="2"/>
    </row>
    <row r="1112" spans="1:6" x14ac:dyDescent="0.3">
      <c r="A1112" s="12"/>
      <c r="B1112" s="2"/>
      <c r="C1112" s="2"/>
      <c r="D1112" s="2"/>
      <c r="E1112" s="2"/>
      <c r="F1112" s="2"/>
    </row>
    <row r="1113" spans="1:6" x14ac:dyDescent="0.3">
      <c r="A1113" s="12"/>
      <c r="B1113" s="2"/>
      <c r="C1113" s="2"/>
      <c r="D1113" s="2"/>
      <c r="E1113" s="2"/>
      <c r="F1113" s="2"/>
    </row>
    <row r="1114" spans="1:6" x14ac:dyDescent="0.3">
      <c r="A1114" s="12"/>
      <c r="B1114" s="2"/>
      <c r="C1114" s="2"/>
      <c r="D1114" s="2"/>
      <c r="E1114" s="2"/>
      <c r="F1114" s="2"/>
    </row>
    <row r="1115" spans="1:6" x14ac:dyDescent="0.3">
      <c r="A1115" s="12"/>
      <c r="B1115" s="2"/>
      <c r="C1115" s="2"/>
      <c r="D1115" s="2"/>
      <c r="E1115" s="2"/>
      <c r="F1115" s="2"/>
    </row>
    <row r="1116" spans="1:6" x14ac:dyDescent="0.3">
      <c r="A1116" s="12"/>
      <c r="B1116" s="2"/>
      <c r="C1116" s="2"/>
      <c r="D1116" s="2"/>
      <c r="E1116" s="2"/>
      <c r="F1116" s="2"/>
    </row>
    <row r="1117" spans="1:6" x14ac:dyDescent="0.3">
      <c r="A1117" s="12"/>
      <c r="B1117" s="2"/>
      <c r="C1117" s="2"/>
      <c r="D1117" s="2"/>
      <c r="E1117" s="2"/>
      <c r="F1117" s="2"/>
    </row>
    <row r="1118" spans="1:6" x14ac:dyDescent="0.3">
      <c r="A1118" s="12"/>
      <c r="B1118" s="2"/>
      <c r="C1118" s="2"/>
      <c r="D1118" s="2"/>
      <c r="E1118" s="2"/>
      <c r="F1118" s="2"/>
    </row>
    <row r="1119" spans="1:6" x14ac:dyDescent="0.3">
      <c r="A1119" s="12"/>
      <c r="B1119" s="2"/>
      <c r="C1119" s="2"/>
      <c r="D1119" s="2"/>
      <c r="E1119" s="2"/>
      <c r="F1119" s="2"/>
    </row>
    <row r="1120" spans="1:6" x14ac:dyDescent="0.3">
      <c r="A1120" s="12"/>
      <c r="B1120" s="2"/>
      <c r="C1120" s="2"/>
      <c r="D1120" s="2"/>
      <c r="E1120" s="2"/>
      <c r="F1120" s="2"/>
    </row>
    <row r="1121" spans="1:6" x14ac:dyDescent="0.3">
      <c r="A1121" s="12"/>
      <c r="B1121" s="2"/>
      <c r="C1121" s="2"/>
      <c r="D1121" s="2"/>
      <c r="E1121" s="2"/>
      <c r="F1121" s="2"/>
    </row>
    <row r="1122" spans="1:6" x14ac:dyDescent="0.3">
      <c r="A1122" s="12"/>
      <c r="B1122" s="2"/>
      <c r="C1122" s="2"/>
      <c r="D1122" s="2"/>
      <c r="E1122" s="2"/>
      <c r="F1122" s="2"/>
    </row>
    <row r="1123" spans="1:6" x14ac:dyDescent="0.3">
      <c r="A1123" s="12"/>
      <c r="B1123" s="2"/>
      <c r="C1123" s="2"/>
      <c r="D1123" s="2"/>
      <c r="E1123" s="2"/>
      <c r="F1123" s="2"/>
    </row>
    <row r="1124" spans="1:6" x14ac:dyDescent="0.3">
      <c r="A1124" s="12"/>
      <c r="B1124" s="2"/>
      <c r="C1124" s="2"/>
      <c r="D1124" s="2"/>
      <c r="E1124" s="2"/>
      <c r="F1124" s="2"/>
    </row>
    <row r="1125" spans="1:6" x14ac:dyDescent="0.3">
      <c r="A1125" s="12"/>
      <c r="B1125" s="2"/>
      <c r="C1125" s="2"/>
      <c r="D1125" s="2"/>
      <c r="E1125" s="2"/>
      <c r="F1125" s="2"/>
    </row>
    <row r="1126" spans="1:6" x14ac:dyDescent="0.3">
      <c r="A1126" s="12"/>
      <c r="B1126" s="2"/>
      <c r="C1126" s="2"/>
      <c r="D1126" s="2"/>
      <c r="E1126" s="2"/>
      <c r="F1126" s="2"/>
    </row>
    <row r="1127" spans="1:6" x14ac:dyDescent="0.3">
      <c r="A1127" s="12"/>
      <c r="B1127" s="2"/>
      <c r="C1127" s="2"/>
      <c r="D1127" s="2"/>
      <c r="E1127" s="2"/>
      <c r="F1127" s="2"/>
    </row>
    <row r="1128" spans="1:6" x14ac:dyDescent="0.3">
      <c r="A1128" s="12"/>
      <c r="B1128" s="2"/>
      <c r="C1128" s="2"/>
      <c r="D1128" s="2"/>
      <c r="E1128" s="2"/>
      <c r="F1128" s="2"/>
    </row>
    <row r="1129" spans="1:6" x14ac:dyDescent="0.3">
      <c r="A1129" s="12"/>
      <c r="B1129" s="2"/>
      <c r="C1129" s="2"/>
      <c r="D1129" s="2"/>
      <c r="E1129" s="2"/>
      <c r="F1129" s="2"/>
    </row>
    <row r="1130" spans="1:6" x14ac:dyDescent="0.3">
      <c r="A1130" s="12"/>
      <c r="B1130" s="2"/>
      <c r="C1130" s="2"/>
      <c r="D1130" s="2"/>
      <c r="E1130" s="2"/>
      <c r="F1130" s="2"/>
    </row>
    <row r="1131" spans="1:6" x14ac:dyDescent="0.3">
      <c r="A1131" s="12"/>
      <c r="B1131" s="2"/>
      <c r="C1131" s="2"/>
      <c r="D1131" s="2"/>
      <c r="E1131" s="2"/>
      <c r="F1131" s="2"/>
    </row>
    <row r="1132" spans="1:6" x14ac:dyDescent="0.3">
      <c r="A1132" s="12"/>
      <c r="B1132" s="2"/>
      <c r="C1132" s="2"/>
      <c r="D1132" s="2"/>
      <c r="E1132" s="2"/>
      <c r="F1132" s="2"/>
    </row>
    <row r="1133" spans="1:6" x14ac:dyDescent="0.3">
      <c r="A1133" s="12"/>
      <c r="B1133" s="2"/>
      <c r="C1133" s="2"/>
      <c r="D1133" s="2"/>
      <c r="E1133" s="2"/>
      <c r="F1133" s="2"/>
    </row>
    <row r="1134" spans="1:6" x14ac:dyDescent="0.3">
      <c r="A1134" s="12"/>
      <c r="B1134" s="2"/>
      <c r="C1134" s="2"/>
      <c r="D1134" s="2"/>
      <c r="E1134" s="2"/>
      <c r="F1134" s="2"/>
    </row>
    <row r="1135" spans="1:6" x14ac:dyDescent="0.3">
      <c r="A1135" s="12"/>
      <c r="B1135" s="2"/>
      <c r="C1135" s="2"/>
      <c r="D1135" s="2"/>
      <c r="E1135" s="2"/>
      <c r="F1135" s="2"/>
    </row>
    <row r="1136" spans="1:6" x14ac:dyDescent="0.3">
      <c r="A1136" s="12"/>
      <c r="B1136" s="2"/>
      <c r="C1136" s="2"/>
      <c r="D1136" s="2"/>
      <c r="E1136" s="2"/>
      <c r="F1136" s="2"/>
    </row>
    <row r="1137" spans="1:6" x14ac:dyDescent="0.3">
      <c r="A1137" s="12"/>
      <c r="B1137" s="2"/>
      <c r="C1137" s="2"/>
      <c r="D1137" s="2"/>
      <c r="E1137" s="2"/>
      <c r="F1137" s="2"/>
    </row>
    <row r="1138" spans="1:6" x14ac:dyDescent="0.3">
      <c r="A1138" s="12"/>
      <c r="B1138" s="2"/>
      <c r="C1138" s="2"/>
      <c r="D1138" s="2"/>
      <c r="E1138" s="2"/>
      <c r="F1138" s="2"/>
    </row>
    <row r="1139" spans="1:6" x14ac:dyDescent="0.3">
      <c r="A1139" s="12"/>
      <c r="B1139" s="2"/>
      <c r="C1139" s="2"/>
      <c r="D1139" s="2"/>
      <c r="E1139" s="2"/>
      <c r="F1139" s="2"/>
    </row>
    <row r="1140" spans="1:6" x14ac:dyDescent="0.3">
      <c r="A1140" s="12"/>
      <c r="B1140" s="2"/>
      <c r="C1140" s="2"/>
      <c r="D1140" s="2"/>
      <c r="E1140" s="2"/>
      <c r="F1140" s="2"/>
    </row>
    <row r="1141" spans="1:6" x14ac:dyDescent="0.3">
      <c r="A1141" s="12"/>
      <c r="B1141" s="2"/>
      <c r="C1141" s="2"/>
      <c r="D1141" s="2"/>
      <c r="E1141" s="2"/>
      <c r="F1141" s="2"/>
    </row>
    <row r="1142" spans="1:6" x14ac:dyDescent="0.3">
      <c r="A1142" s="12"/>
      <c r="B1142" s="2"/>
      <c r="C1142" s="2"/>
      <c r="D1142" s="2"/>
      <c r="E1142" s="2"/>
      <c r="F1142" s="2"/>
    </row>
    <row r="1143" spans="1:6" x14ac:dyDescent="0.3">
      <c r="A1143" s="12"/>
      <c r="B1143" s="2"/>
      <c r="C1143" s="2"/>
      <c r="D1143" s="2"/>
      <c r="E1143" s="2"/>
      <c r="F1143" s="2"/>
    </row>
    <row r="1144" spans="1:6" x14ac:dyDescent="0.3">
      <c r="A1144" s="12"/>
      <c r="B1144" s="2"/>
      <c r="C1144" s="2"/>
      <c r="D1144" s="2"/>
      <c r="E1144" s="2"/>
      <c r="F1144" s="2"/>
    </row>
    <row r="1145" spans="1:6" x14ac:dyDescent="0.3">
      <c r="A1145" s="12"/>
      <c r="B1145" s="2"/>
      <c r="C1145" s="2"/>
      <c r="D1145" s="2"/>
      <c r="E1145" s="2"/>
      <c r="F1145" s="2"/>
    </row>
    <row r="1146" spans="1:6" x14ac:dyDescent="0.3">
      <c r="A1146" s="12"/>
      <c r="B1146" s="2"/>
      <c r="C1146" s="2"/>
      <c r="D1146" s="2"/>
      <c r="E1146" s="2"/>
      <c r="F1146" s="2"/>
    </row>
    <row r="1147" spans="1:6" x14ac:dyDescent="0.3">
      <c r="A1147" s="12"/>
      <c r="B1147" s="2"/>
      <c r="C1147" s="2"/>
      <c r="D1147" s="2"/>
      <c r="E1147" s="2"/>
      <c r="F1147" s="2"/>
    </row>
    <row r="1148" spans="1:6" x14ac:dyDescent="0.3">
      <c r="A1148" s="12"/>
      <c r="B1148" s="2"/>
      <c r="C1148" s="2"/>
      <c r="D1148" s="2"/>
      <c r="E1148" s="2"/>
      <c r="F1148" s="2"/>
    </row>
    <row r="1149" spans="1:6" x14ac:dyDescent="0.3">
      <c r="A1149" s="12"/>
      <c r="B1149" s="2"/>
      <c r="C1149" s="2"/>
      <c r="D1149" s="2"/>
      <c r="E1149" s="2"/>
      <c r="F1149" s="2"/>
    </row>
    <row r="1150" spans="1:6" x14ac:dyDescent="0.3">
      <c r="A1150" s="12"/>
      <c r="B1150" s="2"/>
      <c r="C1150" s="2"/>
      <c r="D1150" s="2"/>
      <c r="E1150" s="2"/>
      <c r="F1150" s="2"/>
    </row>
    <row r="1151" spans="1:6" x14ac:dyDescent="0.3">
      <c r="A1151" s="12"/>
      <c r="B1151" s="2"/>
      <c r="C1151" s="2"/>
      <c r="D1151" s="2"/>
      <c r="E1151" s="2"/>
      <c r="F1151" s="2"/>
    </row>
    <row r="1152" spans="1:6" x14ac:dyDescent="0.3">
      <c r="A1152" s="12"/>
      <c r="B1152" s="2"/>
      <c r="C1152" s="2"/>
      <c r="D1152" s="2"/>
      <c r="E1152" s="2"/>
      <c r="F1152" s="2"/>
    </row>
    <row r="1153" spans="1:6" x14ac:dyDescent="0.3">
      <c r="A1153" s="12"/>
      <c r="B1153" s="2"/>
      <c r="C1153" s="2"/>
      <c r="D1153" s="2"/>
      <c r="E1153" s="2"/>
      <c r="F1153" s="2"/>
    </row>
    <row r="1154" spans="1:6" x14ac:dyDescent="0.3">
      <c r="A1154" s="12"/>
      <c r="B1154" s="2"/>
      <c r="C1154" s="2"/>
      <c r="D1154" s="2"/>
      <c r="E1154" s="2"/>
      <c r="F1154" s="2"/>
    </row>
    <row r="1155" spans="1:6" x14ac:dyDescent="0.3">
      <c r="A1155" s="12"/>
      <c r="B1155" s="2"/>
      <c r="C1155" s="2"/>
      <c r="D1155" s="2"/>
      <c r="E1155" s="2"/>
      <c r="F1155" s="2"/>
    </row>
    <row r="1156" spans="1:6" x14ac:dyDescent="0.3">
      <c r="A1156" s="12"/>
      <c r="B1156" s="2"/>
      <c r="C1156" s="2"/>
      <c r="D1156" s="2"/>
      <c r="E1156" s="2"/>
      <c r="F1156" s="2"/>
    </row>
    <row r="1157" spans="1:6" x14ac:dyDescent="0.3">
      <c r="A1157" s="12"/>
      <c r="B1157" s="2"/>
      <c r="C1157" s="2"/>
      <c r="D1157" s="2"/>
      <c r="E1157" s="2"/>
      <c r="F1157" s="2"/>
    </row>
    <row r="1158" spans="1:6" x14ac:dyDescent="0.3">
      <c r="A1158" s="12"/>
      <c r="B1158" s="2"/>
      <c r="C1158" s="2"/>
      <c r="D1158" s="2"/>
      <c r="E1158" s="2"/>
      <c r="F1158" s="2"/>
    </row>
    <row r="1159" spans="1:6" x14ac:dyDescent="0.3">
      <c r="A1159" s="12"/>
      <c r="B1159" s="2"/>
      <c r="C1159" s="2"/>
      <c r="D1159" s="2"/>
      <c r="E1159" s="2"/>
      <c r="F1159" s="2"/>
    </row>
    <row r="1160" spans="1:6" x14ac:dyDescent="0.3">
      <c r="A1160" s="12"/>
      <c r="B1160" s="2"/>
      <c r="C1160" s="2"/>
      <c r="D1160" s="2"/>
      <c r="E1160" s="2"/>
      <c r="F1160" s="2"/>
    </row>
    <row r="1161" spans="1:6" x14ac:dyDescent="0.3">
      <c r="A1161" s="12"/>
      <c r="B1161" s="2"/>
      <c r="C1161" s="2"/>
      <c r="D1161" s="2"/>
      <c r="E1161" s="2"/>
      <c r="F1161" s="2"/>
    </row>
    <row r="1162" spans="1:6" x14ac:dyDescent="0.3">
      <c r="A1162" s="12"/>
      <c r="B1162" s="2"/>
      <c r="C1162" s="2"/>
      <c r="D1162" s="2"/>
      <c r="E1162" s="2"/>
      <c r="F1162" s="2"/>
    </row>
    <row r="1163" spans="1:6" x14ac:dyDescent="0.3">
      <c r="A1163" s="12"/>
      <c r="B1163" s="2"/>
      <c r="C1163" s="2"/>
      <c r="D1163" s="2"/>
      <c r="E1163" s="2"/>
      <c r="F1163" s="2"/>
    </row>
    <row r="1164" spans="1:6" x14ac:dyDescent="0.3">
      <c r="A1164" s="12"/>
      <c r="B1164" s="2"/>
      <c r="C1164" s="2"/>
      <c r="D1164" s="2"/>
      <c r="E1164" s="2"/>
      <c r="F1164" s="2"/>
    </row>
    <row r="1165" spans="1:6" x14ac:dyDescent="0.3">
      <c r="A1165" s="12"/>
      <c r="B1165" s="2"/>
      <c r="C1165" s="2"/>
      <c r="D1165" s="2"/>
      <c r="E1165" s="2"/>
      <c r="F1165" s="2"/>
    </row>
    <row r="1166" spans="1:6" x14ac:dyDescent="0.3">
      <c r="A1166" s="12"/>
      <c r="B1166" s="2"/>
      <c r="C1166" s="2"/>
      <c r="D1166" s="2"/>
      <c r="E1166" s="2"/>
      <c r="F1166" s="2"/>
    </row>
    <row r="1167" spans="1:6" x14ac:dyDescent="0.3">
      <c r="A1167" s="12"/>
      <c r="B1167" s="2"/>
      <c r="C1167" s="2"/>
      <c r="D1167" s="2"/>
      <c r="E1167" s="2"/>
      <c r="F1167" s="2"/>
    </row>
    <row r="1168" spans="1:6" x14ac:dyDescent="0.3">
      <c r="A1168" s="12"/>
      <c r="B1168" s="2"/>
      <c r="C1168" s="2"/>
      <c r="D1168" s="2"/>
      <c r="E1168" s="2"/>
      <c r="F1168" s="2"/>
    </row>
    <row r="1169" spans="1:6" x14ac:dyDescent="0.3">
      <c r="A1169" s="12"/>
      <c r="B1169" s="2"/>
      <c r="C1169" s="2"/>
      <c r="D1169" s="2"/>
      <c r="E1169" s="2"/>
      <c r="F1169" s="2"/>
    </row>
    <row r="1170" spans="1:6" x14ac:dyDescent="0.3">
      <c r="A1170" s="12"/>
      <c r="B1170" s="2"/>
      <c r="C1170" s="2"/>
      <c r="D1170" s="2"/>
      <c r="E1170" s="2"/>
      <c r="F1170" s="2"/>
    </row>
    <row r="1171" spans="1:6" x14ac:dyDescent="0.3">
      <c r="A1171" s="12"/>
      <c r="B1171" s="2"/>
      <c r="C1171" s="2"/>
      <c r="D1171" s="2"/>
      <c r="E1171" s="2"/>
      <c r="F1171" s="2"/>
    </row>
    <row r="1172" spans="1:6" x14ac:dyDescent="0.3">
      <c r="A1172" s="12"/>
      <c r="B1172" s="2"/>
      <c r="C1172" s="2"/>
      <c r="D1172" s="2"/>
      <c r="E1172" s="2"/>
      <c r="F1172" s="2"/>
    </row>
    <row r="1173" spans="1:6" x14ac:dyDescent="0.3">
      <c r="A1173" s="12"/>
      <c r="B1173" s="2"/>
      <c r="C1173" s="2"/>
      <c r="D1173" s="2"/>
      <c r="E1173" s="2"/>
      <c r="F1173" s="2"/>
    </row>
    <row r="1174" spans="1:6" x14ac:dyDescent="0.3">
      <c r="A1174" s="12"/>
      <c r="B1174" s="2"/>
      <c r="C1174" s="2"/>
      <c r="D1174" s="2"/>
      <c r="E1174" s="2"/>
      <c r="F1174" s="2"/>
    </row>
    <row r="1175" spans="1:6" x14ac:dyDescent="0.3">
      <c r="A1175" s="12"/>
      <c r="B1175" s="2"/>
      <c r="C1175" s="2"/>
      <c r="D1175" s="2"/>
      <c r="E1175" s="2"/>
      <c r="F1175" s="2"/>
    </row>
    <row r="1176" spans="1:6" x14ac:dyDescent="0.3">
      <c r="A1176" s="12"/>
      <c r="B1176" s="2"/>
      <c r="C1176" s="2"/>
      <c r="D1176" s="2"/>
      <c r="E1176" s="2"/>
      <c r="F1176" s="2"/>
    </row>
    <row r="1177" spans="1:6" x14ac:dyDescent="0.3">
      <c r="A1177" s="12"/>
      <c r="B1177" s="2"/>
      <c r="C1177" s="2"/>
      <c r="D1177" s="2"/>
      <c r="E1177" s="2"/>
      <c r="F1177" s="2"/>
    </row>
    <row r="1178" spans="1:6" x14ac:dyDescent="0.3">
      <c r="A1178" s="12"/>
      <c r="B1178" s="2"/>
      <c r="C1178" s="2"/>
      <c r="D1178" s="2"/>
      <c r="E1178" s="2"/>
      <c r="F1178" s="2"/>
    </row>
    <row r="1179" spans="1:6" x14ac:dyDescent="0.3">
      <c r="A1179" s="12"/>
      <c r="B1179" s="2"/>
      <c r="C1179" s="2"/>
      <c r="D1179" s="2"/>
      <c r="E1179" s="2"/>
      <c r="F1179" s="2"/>
    </row>
    <row r="1180" spans="1:6" x14ac:dyDescent="0.3">
      <c r="A1180" s="12"/>
      <c r="B1180" s="2"/>
      <c r="C1180" s="2"/>
      <c r="D1180" s="2"/>
      <c r="E1180" s="2"/>
      <c r="F1180" s="2"/>
    </row>
    <row r="1181" spans="1:6" x14ac:dyDescent="0.3">
      <c r="A1181" s="12"/>
      <c r="B1181" s="2"/>
      <c r="C1181" s="2"/>
      <c r="D1181" s="2"/>
      <c r="E1181" s="2"/>
      <c r="F1181" s="2"/>
    </row>
    <row r="1182" spans="1:6" x14ac:dyDescent="0.3">
      <c r="A1182" s="12"/>
      <c r="B1182" s="2"/>
      <c r="C1182" s="2"/>
      <c r="D1182" s="2"/>
      <c r="E1182" s="2"/>
      <c r="F1182" s="2"/>
    </row>
    <row r="1183" spans="1:6" x14ac:dyDescent="0.3">
      <c r="A1183" s="12"/>
      <c r="B1183" s="2"/>
      <c r="C1183" s="2"/>
      <c r="D1183" s="2"/>
      <c r="E1183" s="2"/>
      <c r="F1183" s="2"/>
    </row>
    <row r="1184" spans="1:6" x14ac:dyDescent="0.3">
      <c r="A1184" s="12"/>
      <c r="B1184" s="2"/>
      <c r="C1184" s="2"/>
      <c r="D1184" s="2"/>
      <c r="E1184" s="2"/>
      <c r="F1184" s="2"/>
    </row>
    <row r="1185" spans="1:6" x14ac:dyDescent="0.3">
      <c r="A1185" s="12"/>
      <c r="B1185" s="2"/>
      <c r="C1185" s="2"/>
      <c r="D1185" s="2"/>
      <c r="E1185" s="2"/>
      <c r="F1185" s="2"/>
    </row>
    <row r="1186" spans="1:6" x14ac:dyDescent="0.3">
      <c r="A1186" s="12"/>
      <c r="B1186" s="2"/>
      <c r="C1186" s="2"/>
      <c r="D1186" s="2"/>
      <c r="E1186" s="2"/>
      <c r="F1186" s="2"/>
    </row>
    <row r="1187" spans="1:6" x14ac:dyDescent="0.3">
      <c r="A1187" s="12"/>
      <c r="B1187" s="2"/>
      <c r="C1187" s="2"/>
      <c r="D1187" s="2"/>
      <c r="E1187" s="2"/>
      <c r="F1187" s="2"/>
    </row>
    <row r="1188" spans="1:6" x14ac:dyDescent="0.3">
      <c r="A1188" s="12"/>
      <c r="B1188" s="2"/>
      <c r="C1188" s="2"/>
      <c r="D1188" s="2"/>
      <c r="E1188" s="2"/>
      <c r="F1188" s="2"/>
    </row>
    <row r="1189" spans="1:6" x14ac:dyDescent="0.3">
      <c r="A1189" s="12"/>
      <c r="B1189" s="2"/>
      <c r="C1189" s="2"/>
      <c r="D1189" s="2"/>
      <c r="E1189" s="2"/>
      <c r="F1189" s="2"/>
    </row>
    <row r="1190" spans="1:6" x14ac:dyDescent="0.3">
      <c r="A1190" s="12"/>
      <c r="B1190" s="2"/>
      <c r="C1190" s="2"/>
      <c r="D1190" s="2"/>
      <c r="E1190" s="2"/>
      <c r="F1190" s="2"/>
    </row>
    <row r="1191" spans="1:6" x14ac:dyDescent="0.3">
      <c r="A1191" s="12"/>
      <c r="B1191" s="2"/>
      <c r="C1191" s="2"/>
      <c r="D1191" s="2"/>
      <c r="E1191" s="2"/>
      <c r="F1191" s="2"/>
    </row>
    <row r="1192" spans="1:6" x14ac:dyDescent="0.3">
      <c r="A1192" s="12"/>
      <c r="B1192" s="2"/>
      <c r="C1192" s="2"/>
      <c r="D1192" s="2"/>
      <c r="E1192" s="2"/>
      <c r="F1192" s="2"/>
    </row>
    <row r="1193" spans="1:6" x14ac:dyDescent="0.3">
      <c r="A1193" s="12"/>
      <c r="B1193" s="2"/>
      <c r="C1193" s="2"/>
      <c r="D1193" s="2"/>
      <c r="E1193" s="2"/>
      <c r="F1193" s="2"/>
    </row>
    <row r="1194" spans="1:6" x14ac:dyDescent="0.3">
      <c r="A1194" s="12"/>
      <c r="B1194" s="2"/>
      <c r="C1194" s="2"/>
      <c r="D1194" s="2"/>
      <c r="E1194" s="2"/>
      <c r="F1194" s="2"/>
    </row>
    <row r="1195" spans="1:6" x14ac:dyDescent="0.3">
      <c r="A1195" s="12"/>
      <c r="B1195" s="2"/>
      <c r="C1195" s="2"/>
      <c r="D1195" s="2"/>
      <c r="E1195" s="2"/>
      <c r="F1195" s="2"/>
    </row>
    <row r="1196" spans="1:6" x14ac:dyDescent="0.3">
      <c r="A1196" s="12"/>
      <c r="B1196" s="2"/>
      <c r="C1196" s="2"/>
      <c r="D1196" s="2"/>
      <c r="E1196" s="2"/>
      <c r="F1196" s="2"/>
    </row>
    <row r="1197" spans="1:6" x14ac:dyDescent="0.3">
      <c r="A1197" s="12"/>
      <c r="B1197" s="2"/>
      <c r="C1197" s="2"/>
      <c r="D1197" s="2"/>
      <c r="E1197" s="2"/>
      <c r="F1197" s="2"/>
    </row>
    <row r="1198" spans="1:6" x14ac:dyDescent="0.3">
      <c r="A1198" s="12"/>
      <c r="B1198" s="2"/>
      <c r="C1198" s="2"/>
      <c r="D1198" s="2"/>
      <c r="E1198" s="2"/>
      <c r="F1198" s="2"/>
    </row>
    <row r="1199" spans="1:6" x14ac:dyDescent="0.3">
      <c r="A1199" s="12"/>
      <c r="B1199" s="2"/>
      <c r="C1199" s="2"/>
      <c r="D1199" s="2"/>
      <c r="E1199" s="2"/>
      <c r="F1199" s="2"/>
    </row>
    <row r="1200" spans="1:6" x14ac:dyDescent="0.3">
      <c r="A1200" s="12"/>
      <c r="B1200" s="2"/>
      <c r="C1200" s="2"/>
      <c r="D1200" s="2"/>
      <c r="E1200" s="2"/>
      <c r="F1200" s="2"/>
    </row>
    <row r="1201" spans="1:6" x14ac:dyDescent="0.3">
      <c r="A1201" s="12"/>
      <c r="B1201" s="2"/>
      <c r="C1201" s="2"/>
      <c r="D1201" s="2"/>
      <c r="E1201" s="2"/>
      <c r="F1201" s="2"/>
    </row>
    <row r="1202" spans="1:6" x14ac:dyDescent="0.3">
      <c r="A1202" s="12"/>
      <c r="B1202" s="2"/>
      <c r="C1202" s="2"/>
      <c r="D1202" s="2"/>
      <c r="E1202" s="2"/>
      <c r="F1202" s="2"/>
    </row>
    <row r="1203" spans="1:6" x14ac:dyDescent="0.3">
      <c r="A1203" s="12"/>
      <c r="B1203" s="2"/>
      <c r="C1203" s="2"/>
      <c r="D1203" s="2"/>
      <c r="E1203" s="2"/>
      <c r="F1203" s="2"/>
    </row>
    <row r="1204" spans="1:6" x14ac:dyDescent="0.3">
      <c r="A1204" s="12"/>
      <c r="B1204" s="2"/>
      <c r="C1204" s="2"/>
      <c r="D1204" s="2"/>
      <c r="E1204" s="2"/>
      <c r="F1204" s="2"/>
    </row>
    <row r="1205" spans="1:6" x14ac:dyDescent="0.3">
      <c r="A1205" s="12"/>
      <c r="B1205" s="2"/>
      <c r="C1205" s="2"/>
      <c r="D1205" s="2"/>
      <c r="E1205" s="2"/>
      <c r="F1205" s="2"/>
    </row>
    <row r="1206" spans="1:6" x14ac:dyDescent="0.3">
      <c r="A1206" s="12"/>
      <c r="B1206" s="2"/>
      <c r="C1206" s="2"/>
      <c r="D1206" s="2"/>
      <c r="E1206" s="2"/>
      <c r="F1206" s="2"/>
    </row>
    <row r="1207" spans="1:6" x14ac:dyDescent="0.3">
      <c r="A1207" s="12"/>
      <c r="B1207" s="2"/>
      <c r="C1207" s="2"/>
      <c r="D1207" s="2"/>
      <c r="E1207" s="2"/>
      <c r="F1207" s="2"/>
    </row>
    <row r="1208" spans="1:6" x14ac:dyDescent="0.3">
      <c r="A1208" s="12"/>
      <c r="B1208" s="2"/>
      <c r="C1208" s="2"/>
      <c r="D1208" s="2"/>
      <c r="E1208" s="2"/>
      <c r="F1208" s="2"/>
    </row>
    <row r="1209" spans="1:6" x14ac:dyDescent="0.3">
      <c r="A1209" s="12"/>
      <c r="B1209" s="2"/>
      <c r="C1209" s="2"/>
      <c r="D1209" s="2"/>
      <c r="E1209" s="2"/>
      <c r="F1209" s="2"/>
    </row>
    <row r="1210" spans="1:6" x14ac:dyDescent="0.3">
      <c r="A1210" s="12"/>
      <c r="B1210" s="2"/>
      <c r="C1210" s="2"/>
      <c r="D1210" s="2"/>
      <c r="E1210" s="2"/>
      <c r="F1210" s="2"/>
    </row>
    <row r="1211" spans="1:6" x14ac:dyDescent="0.3">
      <c r="A1211" s="12"/>
      <c r="B1211" s="2"/>
      <c r="C1211" s="2"/>
      <c r="D1211" s="2"/>
      <c r="E1211" s="2"/>
      <c r="F1211" s="2"/>
    </row>
    <row r="1212" spans="1:6" x14ac:dyDescent="0.3">
      <c r="A1212" s="12"/>
      <c r="B1212" s="2"/>
      <c r="C1212" s="2"/>
      <c r="D1212" s="2"/>
      <c r="E1212" s="2"/>
      <c r="F1212" s="2"/>
    </row>
    <row r="1213" spans="1:6" x14ac:dyDescent="0.3">
      <c r="A1213" s="12"/>
      <c r="B1213" s="2"/>
      <c r="C1213" s="2"/>
      <c r="D1213" s="2"/>
      <c r="E1213" s="2"/>
      <c r="F1213" s="2"/>
    </row>
    <row r="1214" spans="1:6" x14ac:dyDescent="0.3">
      <c r="A1214" s="12"/>
      <c r="B1214" s="2"/>
      <c r="C1214" s="2"/>
      <c r="D1214" s="2"/>
      <c r="E1214" s="2"/>
      <c r="F1214" s="2"/>
    </row>
    <row r="1215" spans="1:6" x14ac:dyDescent="0.3">
      <c r="A1215" s="12"/>
      <c r="B1215" s="2"/>
      <c r="C1215" s="2"/>
      <c r="D1215" s="2"/>
      <c r="E1215" s="2"/>
      <c r="F1215" s="2"/>
    </row>
    <row r="1216" spans="1:6" x14ac:dyDescent="0.3">
      <c r="A1216" s="12"/>
      <c r="B1216" s="2"/>
      <c r="C1216" s="2"/>
      <c r="D1216" s="2"/>
      <c r="E1216" s="2"/>
      <c r="F1216" s="2"/>
    </row>
    <row r="1217" spans="1:6" x14ac:dyDescent="0.3">
      <c r="A1217" s="12"/>
      <c r="B1217" s="2"/>
      <c r="C1217" s="2"/>
      <c r="D1217" s="2"/>
      <c r="E1217" s="2"/>
      <c r="F1217" s="2"/>
    </row>
    <row r="1218" spans="1:6" x14ac:dyDescent="0.3">
      <c r="A1218" s="12"/>
      <c r="B1218" s="2"/>
      <c r="C1218" s="2"/>
      <c r="D1218" s="2"/>
      <c r="E1218" s="2"/>
      <c r="F1218" s="2"/>
    </row>
    <row r="1219" spans="1:6" x14ac:dyDescent="0.3">
      <c r="A1219" s="12"/>
      <c r="B1219" s="2"/>
      <c r="C1219" s="2"/>
      <c r="D1219" s="2"/>
      <c r="E1219" s="2"/>
      <c r="F1219" s="2"/>
    </row>
    <row r="1220" spans="1:6" x14ac:dyDescent="0.3">
      <c r="A1220" s="12"/>
      <c r="B1220" s="2"/>
      <c r="C1220" s="2"/>
      <c r="D1220" s="2"/>
      <c r="E1220" s="2"/>
      <c r="F1220" s="2"/>
    </row>
    <row r="1221" spans="1:6" x14ac:dyDescent="0.3">
      <c r="A1221" s="12"/>
      <c r="B1221" s="2"/>
      <c r="C1221" s="2"/>
      <c r="D1221" s="2"/>
      <c r="E1221" s="2"/>
      <c r="F1221" s="2"/>
    </row>
    <row r="1222" spans="1:6" x14ac:dyDescent="0.3">
      <c r="A1222" s="12"/>
      <c r="B1222" s="2"/>
      <c r="C1222" s="2"/>
      <c r="D1222" s="2"/>
      <c r="E1222" s="2"/>
      <c r="F1222" s="2"/>
    </row>
    <row r="1223" spans="1:6" x14ac:dyDescent="0.3">
      <c r="A1223" s="12"/>
      <c r="B1223" s="2"/>
      <c r="C1223" s="2"/>
      <c r="D1223" s="2"/>
      <c r="E1223" s="2"/>
      <c r="F1223" s="2"/>
    </row>
    <row r="1224" spans="1:6" x14ac:dyDescent="0.3">
      <c r="A1224" s="12"/>
      <c r="B1224" s="2"/>
      <c r="C1224" s="2"/>
      <c r="D1224" s="2"/>
      <c r="E1224" s="2"/>
      <c r="F1224" s="2"/>
    </row>
    <row r="1225" spans="1:6" x14ac:dyDescent="0.3">
      <c r="A1225" s="12"/>
      <c r="B1225" s="2"/>
      <c r="C1225" s="2"/>
      <c r="D1225" s="2"/>
      <c r="E1225" s="2"/>
      <c r="F1225" s="2"/>
    </row>
    <row r="1226" spans="1:6" x14ac:dyDescent="0.3">
      <c r="A1226" s="12"/>
      <c r="B1226" s="2"/>
      <c r="C1226" s="2"/>
      <c r="D1226" s="2"/>
      <c r="E1226" s="2"/>
      <c r="F1226" s="2"/>
    </row>
    <row r="1227" spans="1:6" x14ac:dyDescent="0.3">
      <c r="A1227" s="12"/>
      <c r="B1227" s="2"/>
      <c r="C1227" s="2"/>
      <c r="D1227" s="2"/>
      <c r="E1227" s="2"/>
      <c r="F1227" s="2"/>
    </row>
    <row r="1228" spans="1:6" x14ac:dyDescent="0.3">
      <c r="A1228" s="12"/>
      <c r="B1228" s="2"/>
      <c r="C1228" s="2"/>
      <c r="D1228" s="2"/>
      <c r="E1228" s="2"/>
      <c r="F1228" s="2"/>
    </row>
    <row r="1229" spans="1:6" x14ac:dyDescent="0.3">
      <c r="A1229" s="12"/>
      <c r="B1229" s="2"/>
      <c r="C1229" s="2"/>
      <c r="D1229" s="2"/>
      <c r="E1229" s="2"/>
      <c r="F1229" s="2"/>
    </row>
    <row r="1230" spans="1:6" x14ac:dyDescent="0.3">
      <c r="A1230" s="12"/>
      <c r="B1230" s="2"/>
      <c r="C1230" s="2"/>
      <c r="D1230" s="2"/>
      <c r="E1230" s="2"/>
      <c r="F1230" s="2"/>
    </row>
    <row r="1231" spans="1:6" x14ac:dyDescent="0.3">
      <c r="A1231" s="12"/>
      <c r="B1231" s="2"/>
      <c r="C1231" s="2"/>
      <c r="D1231" s="2"/>
      <c r="E1231" s="2"/>
      <c r="F1231" s="2"/>
    </row>
    <row r="1232" spans="1:6" x14ac:dyDescent="0.3">
      <c r="A1232" s="12"/>
      <c r="B1232" s="2"/>
      <c r="C1232" s="2"/>
      <c r="D1232" s="2"/>
      <c r="E1232" s="2"/>
      <c r="F1232" s="2"/>
    </row>
    <row r="1233" spans="1:6" x14ac:dyDescent="0.3">
      <c r="A1233" s="12"/>
      <c r="B1233" s="2"/>
      <c r="C1233" s="2"/>
      <c r="D1233" s="2"/>
      <c r="E1233" s="2"/>
      <c r="F1233" s="2"/>
    </row>
    <row r="1234" spans="1:6" x14ac:dyDescent="0.3">
      <c r="A1234" s="12"/>
      <c r="B1234" s="2"/>
      <c r="C1234" s="2"/>
      <c r="D1234" s="2"/>
      <c r="E1234" s="2"/>
      <c r="F1234" s="2"/>
    </row>
    <row r="1235" spans="1:6" x14ac:dyDescent="0.3">
      <c r="A1235" s="12"/>
      <c r="B1235" s="2"/>
      <c r="C1235" s="2"/>
      <c r="D1235" s="2"/>
      <c r="E1235" s="2"/>
      <c r="F1235" s="2"/>
    </row>
    <row r="1236" spans="1:6" x14ac:dyDescent="0.3">
      <c r="A1236" s="12"/>
      <c r="B1236" s="2"/>
      <c r="C1236" s="2"/>
      <c r="D1236" s="2"/>
      <c r="E1236" s="2"/>
      <c r="F1236" s="2"/>
    </row>
    <row r="1237" spans="1:6" x14ac:dyDescent="0.3">
      <c r="A1237" s="12"/>
      <c r="B1237" s="2"/>
      <c r="C1237" s="2"/>
      <c r="D1237" s="2"/>
      <c r="E1237" s="2"/>
      <c r="F1237" s="2"/>
    </row>
    <row r="1238" spans="1:6" x14ac:dyDescent="0.3">
      <c r="A1238" s="12"/>
      <c r="B1238" s="2"/>
      <c r="C1238" s="2"/>
      <c r="D1238" s="2"/>
      <c r="E1238" s="2"/>
      <c r="F1238" s="2"/>
    </row>
    <row r="1239" spans="1:6" x14ac:dyDescent="0.3">
      <c r="A1239" s="12"/>
      <c r="B1239" s="2"/>
      <c r="C1239" s="2"/>
      <c r="D1239" s="2"/>
      <c r="E1239" s="2"/>
      <c r="F1239" s="2"/>
    </row>
    <row r="1240" spans="1:6" x14ac:dyDescent="0.3">
      <c r="A1240" s="12"/>
      <c r="B1240" s="2"/>
      <c r="C1240" s="2"/>
      <c r="D1240" s="2"/>
      <c r="E1240" s="2"/>
      <c r="F1240" s="2"/>
    </row>
    <row r="1241" spans="1:6" x14ac:dyDescent="0.3">
      <c r="A1241" s="12"/>
      <c r="B1241" s="2"/>
      <c r="C1241" s="2"/>
      <c r="D1241" s="2"/>
      <c r="E1241" s="2"/>
      <c r="F1241" s="2"/>
    </row>
    <row r="1242" spans="1:6" x14ac:dyDescent="0.3">
      <c r="A1242" s="12"/>
      <c r="B1242" s="2"/>
      <c r="C1242" s="2"/>
      <c r="D1242" s="2"/>
      <c r="E1242" s="2"/>
      <c r="F1242" s="2"/>
    </row>
    <row r="1243" spans="1:6" x14ac:dyDescent="0.3">
      <c r="A1243" s="12"/>
      <c r="B1243" s="2"/>
      <c r="C1243" s="2"/>
      <c r="D1243" s="2"/>
      <c r="E1243" s="2"/>
      <c r="F1243" s="2"/>
    </row>
    <row r="1244" spans="1:6" x14ac:dyDescent="0.3">
      <c r="A1244" s="12"/>
      <c r="B1244" s="2"/>
      <c r="C1244" s="2"/>
      <c r="D1244" s="2"/>
      <c r="E1244" s="2"/>
      <c r="F1244" s="2"/>
    </row>
    <row r="1245" spans="1:6" x14ac:dyDescent="0.3">
      <c r="A1245" s="12"/>
      <c r="B1245" s="2"/>
      <c r="C1245" s="2"/>
      <c r="D1245" s="2"/>
      <c r="E1245" s="2"/>
      <c r="F1245" s="2"/>
    </row>
    <row r="1246" spans="1:6" x14ac:dyDescent="0.3">
      <c r="A1246" s="12"/>
      <c r="B1246" s="2"/>
      <c r="C1246" s="2"/>
      <c r="D1246" s="2"/>
      <c r="E1246" s="2"/>
      <c r="F1246" s="2"/>
    </row>
    <row r="1247" spans="1:6" x14ac:dyDescent="0.3">
      <c r="A1247" s="12"/>
      <c r="B1247" s="2"/>
      <c r="C1247" s="2"/>
      <c r="D1247" s="2"/>
      <c r="E1247" s="2"/>
      <c r="F1247" s="2"/>
    </row>
    <row r="1248" spans="1:6" x14ac:dyDescent="0.3">
      <c r="A1248" s="12"/>
      <c r="B1248" s="2"/>
      <c r="C1248" s="2"/>
      <c r="D1248" s="2"/>
      <c r="E1248" s="2"/>
      <c r="F1248" s="2"/>
    </row>
    <row r="1249" spans="1:6" x14ac:dyDescent="0.3">
      <c r="A1249" s="12"/>
      <c r="B1249" s="2"/>
      <c r="C1249" s="2"/>
      <c r="D1249" s="2"/>
      <c r="E1249" s="2"/>
      <c r="F1249" s="2"/>
    </row>
    <row r="1250" spans="1:6" x14ac:dyDescent="0.3">
      <c r="A1250" s="12"/>
      <c r="B1250" s="2"/>
      <c r="C1250" s="2"/>
      <c r="D1250" s="2"/>
      <c r="E1250" s="2"/>
      <c r="F1250" s="2"/>
    </row>
    <row r="1251" spans="1:6" x14ac:dyDescent="0.3">
      <c r="A1251" s="12"/>
      <c r="B1251" s="2"/>
      <c r="C1251" s="2"/>
      <c r="D1251" s="2"/>
      <c r="E1251" s="2"/>
      <c r="F1251" s="2"/>
    </row>
    <row r="1252" spans="1:6" x14ac:dyDescent="0.3">
      <c r="A1252" s="12"/>
      <c r="B1252" s="2"/>
      <c r="C1252" s="2"/>
      <c r="D1252" s="2"/>
      <c r="E1252" s="2"/>
      <c r="F1252" s="2"/>
    </row>
    <row r="1253" spans="1:6" x14ac:dyDescent="0.3">
      <c r="A1253" s="12"/>
      <c r="B1253" s="2"/>
      <c r="C1253" s="2"/>
      <c r="D1253" s="2"/>
      <c r="E1253" s="2"/>
      <c r="F1253" s="2"/>
    </row>
    <row r="1254" spans="1:6" x14ac:dyDescent="0.3">
      <c r="A1254" s="12"/>
      <c r="B1254" s="2"/>
      <c r="C1254" s="2"/>
      <c r="D1254" s="2"/>
      <c r="E1254" s="2"/>
      <c r="F1254" s="2"/>
    </row>
    <row r="1255" spans="1:6" x14ac:dyDescent="0.3">
      <c r="A1255" s="12"/>
      <c r="B1255" s="2"/>
      <c r="C1255" s="2"/>
      <c r="D1255" s="2"/>
      <c r="E1255" s="2"/>
      <c r="F1255" s="2"/>
    </row>
    <row r="1256" spans="1:6" x14ac:dyDescent="0.3">
      <c r="A1256" s="12"/>
      <c r="B1256" s="2"/>
      <c r="C1256" s="2"/>
      <c r="D1256" s="2"/>
      <c r="E1256" s="2"/>
      <c r="F1256" s="2"/>
    </row>
    <row r="1257" spans="1:6" x14ac:dyDescent="0.3">
      <c r="A1257" s="12"/>
      <c r="B1257" s="2"/>
      <c r="C1257" s="2"/>
      <c r="D1257" s="2"/>
      <c r="E1257" s="2"/>
      <c r="F1257" s="2"/>
    </row>
    <row r="1258" spans="1:6" x14ac:dyDescent="0.3">
      <c r="A1258" s="12"/>
      <c r="B1258" s="2"/>
      <c r="C1258" s="2"/>
      <c r="D1258" s="2"/>
      <c r="E1258" s="2"/>
      <c r="F1258" s="2"/>
    </row>
    <row r="1259" spans="1:6" x14ac:dyDescent="0.3">
      <c r="A1259" s="12"/>
      <c r="B1259" s="2"/>
      <c r="C1259" s="2"/>
      <c r="D1259" s="2"/>
      <c r="E1259" s="2"/>
      <c r="F1259" s="2"/>
    </row>
    <row r="1260" spans="1:6" x14ac:dyDescent="0.3">
      <c r="A1260" s="12"/>
      <c r="B1260" s="2"/>
      <c r="C1260" s="2"/>
      <c r="D1260" s="2"/>
      <c r="E1260" s="2"/>
      <c r="F1260" s="2"/>
    </row>
    <row r="1261" spans="1:6" x14ac:dyDescent="0.3">
      <c r="A1261" s="12"/>
      <c r="B1261" s="2"/>
      <c r="C1261" s="2"/>
      <c r="D1261" s="2"/>
      <c r="E1261" s="2"/>
      <c r="F1261" s="2"/>
    </row>
    <row r="1262" spans="1:6" x14ac:dyDescent="0.3">
      <c r="A1262" s="12"/>
      <c r="B1262" s="2"/>
      <c r="C1262" s="2"/>
      <c r="D1262" s="2"/>
      <c r="E1262" s="2"/>
      <c r="F1262" s="2"/>
    </row>
    <row r="1263" spans="1:6" x14ac:dyDescent="0.3">
      <c r="A1263" s="12"/>
      <c r="B1263" s="2"/>
      <c r="C1263" s="2"/>
      <c r="D1263" s="2"/>
      <c r="E1263" s="2"/>
      <c r="F1263" s="2"/>
    </row>
    <row r="1264" spans="1:6" x14ac:dyDescent="0.3">
      <c r="A1264" s="12"/>
      <c r="B1264" s="2"/>
      <c r="C1264" s="2"/>
      <c r="D1264" s="2"/>
      <c r="E1264" s="2"/>
      <c r="F1264" s="2"/>
    </row>
    <row r="1265" spans="1:6" x14ac:dyDescent="0.3">
      <c r="A1265" s="12"/>
      <c r="B1265" s="2"/>
      <c r="C1265" s="2"/>
      <c r="D1265" s="2"/>
      <c r="E1265" s="2"/>
      <c r="F1265" s="2"/>
    </row>
    <row r="1266" spans="1:6" x14ac:dyDescent="0.3">
      <c r="A1266" s="12"/>
      <c r="B1266" s="2"/>
      <c r="C1266" s="2"/>
      <c r="D1266" s="2"/>
      <c r="E1266" s="2"/>
      <c r="F1266" s="2"/>
    </row>
    <row r="1267" spans="1:6" x14ac:dyDescent="0.3">
      <c r="A1267" s="12"/>
      <c r="B1267" s="2"/>
      <c r="C1267" s="2"/>
      <c r="D1267" s="2"/>
      <c r="E1267" s="2"/>
      <c r="F1267" s="2"/>
    </row>
    <row r="1268" spans="1:6" x14ac:dyDescent="0.3">
      <c r="A1268" s="12"/>
      <c r="B1268" s="2"/>
      <c r="C1268" s="2"/>
      <c r="D1268" s="2"/>
      <c r="E1268" s="2"/>
      <c r="F1268" s="2"/>
    </row>
    <row r="1269" spans="1:6" x14ac:dyDescent="0.3">
      <c r="A1269" s="12"/>
      <c r="B1269" s="2"/>
      <c r="C1269" s="2"/>
      <c r="D1269" s="2"/>
      <c r="E1269" s="2"/>
      <c r="F1269" s="2"/>
    </row>
    <row r="1270" spans="1:6" x14ac:dyDescent="0.3">
      <c r="A1270" s="12"/>
      <c r="B1270" s="2"/>
      <c r="C1270" s="2"/>
      <c r="D1270" s="2"/>
      <c r="E1270" s="2"/>
      <c r="F1270" s="2"/>
    </row>
    <row r="1271" spans="1:6" x14ac:dyDescent="0.3">
      <c r="A1271" s="12"/>
      <c r="B1271" s="2"/>
      <c r="C1271" s="2"/>
      <c r="D1271" s="2"/>
      <c r="E1271" s="2"/>
      <c r="F1271" s="2"/>
    </row>
    <row r="1272" spans="1:6" x14ac:dyDescent="0.3">
      <c r="A1272" s="12"/>
      <c r="B1272" s="2"/>
      <c r="C1272" s="2"/>
      <c r="D1272" s="2"/>
      <c r="E1272" s="2"/>
      <c r="F1272" s="2"/>
    </row>
    <row r="1273" spans="1:6" x14ac:dyDescent="0.3">
      <c r="A1273" s="12"/>
      <c r="B1273" s="2"/>
      <c r="C1273" s="2"/>
      <c r="D1273" s="2"/>
      <c r="E1273" s="2"/>
      <c r="F1273" s="2"/>
    </row>
    <row r="1274" spans="1:6" x14ac:dyDescent="0.3">
      <c r="A1274" s="12"/>
      <c r="B1274" s="2"/>
      <c r="C1274" s="2"/>
      <c r="D1274" s="2"/>
      <c r="E1274" s="2"/>
      <c r="F1274" s="2"/>
    </row>
    <row r="1275" spans="1:6" x14ac:dyDescent="0.3">
      <c r="A1275" s="12"/>
      <c r="B1275" s="2"/>
      <c r="C1275" s="2"/>
      <c r="D1275" s="2"/>
      <c r="E1275" s="2"/>
      <c r="F1275" s="2"/>
    </row>
    <row r="1276" spans="1:6" x14ac:dyDescent="0.3">
      <c r="A1276" s="12"/>
      <c r="B1276" s="2"/>
      <c r="C1276" s="2"/>
      <c r="D1276" s="2"/>
      <c r="E1276" s="2"/>
      <c r="F1276" s="2"/>
    </row>
    <row r="1277" spans="1:6" x14ac:dyDescent="0.3">
      <c r="A1277" s="12"/>
      <c r="B1277" s="2"/>
      <c r="C1277" s="2"/>
      <c r="D1277" s="2"/>
      <c r="E1277" s="2"/>
      <c r="F1277" s="2"/>
    </row>
    <row r="1278" spans="1:6" x14ac:dyDescent="0.3">
      <c r="A1278" s="12"/>
      <c r="B1278" s="2"/>
      <c r="C1278" s="2"/>
      <c r="D1278" s="2"/>
      <c r="E1278" s="2"/>
      <c r="F1278" s="2"/>
    </row>
    <row r="1279" spans="1:6" x14ac:dyDescent="0.3">
      <c r="A1279" s="12"/>
      <c r="B1279" s="2"/>
      <c r="C1279" s="2"/>
      <c r="D1279" s="2"/>
      <c r="E1279" s="2"/>
      <c r="F1279" s="2"/>
    </row>
    <row r="1280" spans="1:6" x14ac:dyDescent="0.3">
      <c r="A1280" s="12"/>
      <c r="B1280" s="2"/>
      <c r="C1280" s="2"/>
      <c r="D1280" s="2"/>
      <c r="E1280" s="2"/>
      <c r="F1280" s="2"/>
    </row>
    <row r="1281" spans="1:6" x14ac:dyDescent="0.3">
      <c r="A1281" s="12"/>
      <c r="B1281" s="2"/>
      <c r="C1281" s="2"/>
      <c r="D1281" s="2"/>
      <c r="E1281" s="2"/>
      <c r="F1281" s="2"/>
    </row>
    <row r="1282" spans="1:6" x14ac:dyDescent="0.3">
      <c r="A1282" s="12"/>
      <c r="B1282" s="2"/>
      <c r="C1282" s="2"/>
      <c r="D1282" s="2"/>
      <c r="E1282" s="2"/>
      <c r="F1282" s="2"/>
    </row>
    <row r="1283" spans="1:6" x14ac:dyDescent="0.3">
      <c r="A1283" s="12"/>
      <c r="B1283" s="2"/>
      <c r="C1283" s="2"/>
      <c r="D1283" s="2"/>
      <c r="E1283" s="2"/>
      <c r="F1283" s="2"/>
    </row>
    <row r="1284" spans="1:6" x14ac:dyDescent="0.3">
      <c r="A1284" s="12"/>
      <c r="B1284" s="2"/>
      <c r="C1284" s="2"/>
      <c r="D1284" s="2"/>
      <c r="E1284" s="2"/>
      <c r="F1284" s="2"/>
    </row>
    <row r="1285" spans="1:6" x14ac:dyDescent="0.3">
      <c r="A1285" s="12"/>
      <c r="B1285" s="2"/>
      <c r="C1285" s="2"/>
      <c r="D1285" s="2"/>
      <c r="E1285" s="2"/>
      <c r="F1285" s="2"/>
    </row>
    <row r="1286" spans="1:6" x14ac:dyDescent="0.3">
      <c r="A1286" s="12"/>
      <c r="B1286" s="2"/>
      <c r="C1286" s="2"/>
      <c r="D1286" s="2"/>
      <c r="E1286" s="2"/>
      <c r="F1286" s="2"/>
    </row>
    <row r="1287" spans="1:6" x14ac:dyDescent="0.3">
      <c r="A1287" s="12"/>
      <c r="B1287" s="2"/>
      <c r="C1287" s="2"/>
      <c r="D1287" s="2"/>
      <c r="E1287" s="2"/>
      <c r="F1287" s="2"/>
    </row>
    <row r="1288" spans="1:6" x14ac:dyDescent="0.3">
      <c r="A1288" s="12"/>
      <c r="B1288" s="2"/>
      <c r="C1288" s="2"/>
      <c r="D1288" s="2"/>
      <c r="E1288" s="2"/>
      <c r="F1288" s="2"/>
    </row>
    <row r="1289" spans="1:6" x14ac:dyDescent="0.3">
      <c r="A1289" s="12"/>
      <c r="B1289" s="2"/>
      <c r="C1289" s="2"/>
      <c r="D1289" s="2"/>
      <c r="E1289" s="2"/>
      <c r="F1289" s="2"/>
    </row>
    <row r="1290" spans="1:6" x14ac:dyDescent="0.3">
      <c r="A1290" s="12"/>
      <c r="B1290" s="2"/>
      <c r="C1290" s="2"/>
      <c r="D1290" s="2"/>
      <c r="E1290" s="2"/>
      <c r="F1290" s="2"/>
    </row>
    <row r="1291" spans="1:6" x14ac:dyDescent="0.3">
      <c r="A1291" s="12"/>
      <c r="B1291" s="2"/>
      <c r="C1291" s="2"/>
      <c r="D1291" s="2"/>
      <c r="E1291" s="2"/>
      <c r="F1291" s="2"/>
    </row>
    <row r="1292" spans="1:6" x14ac:dyDescent="0.3">
      <c r="A1292" s="12"/>
      <c r="B1292" s="2"/>
      <c r="C1292" s="2"/>
      <c r="D1292" s="2"/>
      <c r="E1292" s="2"/>
      <c r="F1292" s="2"/>
    </row>
    <row r="1293" spans="1:6" x14ac:dyDescent="0.3">
      <c r="A1293" s="12"/>
      <c r="B1293" s="2"/>
      <c r="C1293" s="2"/>
      <c r="D1293" s="2"/>
      <c r="E1293" s="2"/>
      <c r="F1293" s="2"/>
    </row>
    <row r="1294" spans="1:6" x14ac:dyDescent="0.3">
      <c r="A1294" s="12"/>
      <c r="B1294" s="2"/>
      <c r="C1294" s="2"/>
      <c r="D1294" s="2"/>
      <c r="E1294" s="2"/>
      <c r="F1294" s="2"/>
    </row>
    <row r="1295" spans="1:6" x14ac:dyDescent="0.3">
      <c r="A1295" s="12"/>
      <c r="B1295" s="2"/>
      <c r="C1295" s="2"/>
      <c r="D1295" s="2"/>
      <c r="E1295" s="2"/>
      <c r="F1295" s="2"/>
    </row>
    <row r="1296" spans="1:6" x14ac:dyDescent="0.3">
      <c r="A1296" s="12"/>
      <c r="B1296" s="2"/>
      <c r="C1296" s="2"/>
      <c r="D1296" s="2"/>
      <c r="E1296" s="2"/>
      <c r="F1296" s="2"/>
    </row>
    <row r="1297" spans="1:6" x14ac:dyDescent="0.3">
      <c r="A1297" s="12"/>
      <c r="B1297" s="2"/>
      <c r="C1297" s="2"/>
      <c r="D1297" s="2"/>
      <c r="E1297" s="2"/>
      <c r="F1297" s="2"/>
    </row>
    <row r="1298" spans="1:6" x14ac:dyDescent="0.3">
      <c r="A1298" s="12"/>
      <c r="B1298" s="2"/>
      <c r="C1298" s="2"/>
      <c r="D1298" s="2"/>
      <c r="E1298" s="2"/>
      <c r="F1298" s="2"/>
    </row>
    <row r="1299" spans="1:6" x14ac:dyDescent="0.3">
      <c r="A1299" s="12"/>
      <c r="B1299" s="2"/>
      <c r="C1299" s="2"/>
      <c r="D1299" s="2"/>
      <c r="E1299" s="2"/>
      <c r="F1299" s="2"/>
    </row>
    <row r="1300" spans="1:6" x14ac:dyDescent="0.3">
      <c r="A1300" s="12"/>
      <c r="B1300" s="2"/>
      <c r="C1300" s="2"/>
      <c r="D1300" s="2"/>
      <c r="E1300" s="2"/>
      <c r="F1300" s="2"/>
    </row>
    <row r="1301" spans="1:6" x14ac:dyDescent="0.3">
      <c r="A1301" s="12"/>
      <c r="B1301" s="2"/>
      <c r="C1301" s="2"/>
      <c r="D1301" s="2"/>
      <c r="E1301" s="2"/>
      <c r="F1301" s="2"/>
    </row>
    <row r="1302" spans="1:6" x14ac:dyDescent="0.3">
      <c r="A1302" s="12"/>
      <c r="B1302" s="2"/>
      <c r="C1302" s="2"/>
      <c r="D1302" s="2"/>
      <c r="E1302" s="2"/>
      <c r="F1302" s="2"/>
    </row>
    <row r="1303" spans="1:6" x14ac:dyDescent="0.3">
      <c r="A1303" s="12"/>
      <c r="B1303" s="2"/>
      <c r="C1303" s="2"/>
      <c r="D1303" s="2"/>
      <c r="E1303" s="2"/>
      <c r="F1303" s="2"/>
    </row>
    <row r="1304" spans="1:6" x14ac:dyDescent="0.3">
      <c r="A1304" s="12"/>
      <c r="B1304" s="2"/>
      <c r="C1304" s="2"/>
      <c r="D1304" s="2"/>
      <c r="E1304" s="2"/>
      <c r="F1304" s="2"/>
    </row>
    <row r="1305" spans="1:6" x14ac:dyDescent="0.3">
      <c r="A1305" s="12"/>
      <c r="B1305" s="2"/>
      <c r="C1305" s="2"/>
      <c r="D1305" s="2"/>
      <c r="E1305" s="2"/>
      <c r="F1305" s="2"/>
    </row>
    <row r="1306" spans="1:6" x14ac:dyDescent="0.3">
      <c r="A1306" s="12"/>
      <c r="B1306" s="2"/>
      <c r="C1306" s="2"/>
      <c r="D1306" s="2"/>
      <c r="E1306" s="2"/>
      <c r="F1306" s="2"/>
    </row>
    <row r="1307" spans="1:6" x14ac:dyDescent="0.3">
      <c r="A1307" s="12"/>
      <c r="B1307" s="2"/>
      <c r="C1307" s="2"/>
      <c r="D1307" s="2"/>
      <c r="E1307" s="2"/>
      <c r="F1307" s="2"/>
    </row>
    <row r="1308" spans="1:6" x14ac:dyDescent="0.3">
      <c r="A1308" s="12"/>
      <c r="B1308" s="2"/>
      <c r="C1308" s="2"/>
      <c r="D1308" s="2"/>
      <c r="E1308" s="2"/>
      <c r="F1308" s="2"/>
    </row>
    <row r="1309" spans="1:6" x14ac:dyDescent="0.3">
      <c r="A1309" s="12"/>
      <c r="B1309" s="2"/>
      <c r="C1309" s="2"/>
      <c r="D1309" s="2"/>
      <c r="E1309" s="2"/>
      <c r="F1309" s="2"/>
    </row>
    <row r="1310" spans="1:6" x14ac:dyDescent="0.3">
      <c r="A1310" s="12"/>
      <c r="B1310" s="2"/>
      <c r="C1310" s="2"/>
      <c r="D1310" s="2"/>
      <c r="E1310" s="2"/>
      <c r="F1310" s="2"/>
    </row>
    <row r="1311" spans="1:6" x14ac:dyDescent="0.3">
      <c r="A1311" s="12"/>
      <c r="B1311" s="2"/>
      <c r="C1311" s="2"/>
      <c r="D1311" s="2"/>
      <c r="E1311" s="2"/>
      <c r="F1311" s="2"/>
    </row>
    <row r="1312" spans="1:6" x14ac:dyDescent="0.3">
      <c r="A1312" s="12"/>
      <c r="B1312" s="2"/>
      <c r="C1312" s="2"/>
      <c r="D1312" s="2"/>
      <c r="E1312" s="2"/>
      <c r="F1312" s="2"/>
    </row>
    <row r="1313" spans="1:6" x14ac:dyDescent="0.3">
      <c r="A1313" s="12"/>
      <c r="B1313" s="2"/>
      <c r="C1313" s="2"/>
      <c r="D1313" s="2"/>
      <c r="E1313" s="2"/>
      <c r="F1313" s="2"/>
    </row>
    <row r="1314" spans="1:6" x14ac:dyDescent="0.3">
      <c r="A1314" s="12"/>
      <c r="B1314" s="2"/>
      <c r="C1314" s="2"/>
      <c r="D1314" s="2"/>
      <c r="E1314" s="2"/>
      <c r="F1314" s="2"/>
    </row>
    <row r="1315" spans="1:6" x14ac:dyDescent="0.3">
      <c r="A1315" s="12"/>
      <c r="B1315" s="2"/>
      <c r="C1315" s="2"/>
      <c r="D1315" s="2"/>
      <c r="E1315" s="2"/>
      <c r="F1315" s="2"/>
    </row>
    <row r="1316" spans="1:6" x14ac:dyDescent="0.3">
      <c r="A1316" s="12"/>
      <c r="B1316" s="2"/>
      <c r="C1316" s="2"/>
      <c r="D1316" s="2"/>
      <c r="E1316" s="2"/>
      <c r="F1316" s="2"/>
    </row>
    <row r="1317" spans="1:6" x14ac:dyDescent="0.3">
      <c r="A1317" s="12"/>
      <c r="B1317" s="2"/>
      <c r="C1317" s="2"/>
      <c r="D1317" s="2"/>
      <c r="E1317" s="2"/>
      <c r="F1317" s="2"/>
    </row>
    <row r="1318" spans="1:6" x14ac:dyDescent="0.3">
      <c r="A1318" s="12"/>
      <c r="B1318" s="2"/>
      <c r="C1318" s="2"/>
      <c r="D1318" s="2"/>
      <c r="E1318" s="2"/>
      <c r="F1318" s="2"/>
    </row>
    <row r="1319" spans="1:6" x14ac:dyDescent="0.3">
      <c r="A1319" s="12"/>
      <c r="B1319" s="2"/>
      <c r="C1319" s="2"/>
      <c r="D1319" s="2"/>
      <c r="E1319" s="2"/>
      <c r="F1319" s="2"/>
    </row>
    <row r="1320" spans="1:6" x14ac:dyDescent="0.3">
      <c r="A1320" s="12"/>
      <c r="B1320" s="2"/>
      <c r="C1320" s="2"/>
      <c r="D1320" s="2"/>
      <c r="E1320" s="2"/>
      <c r="F1320" s="2"/>
    </row>
    <row r="1321" spans="1:6" x14ac:dyDescent="0.3">
      <c r="A1321" s="12"/>
      <c r="B1321" s="2"/>
      <c r="C1321" s="2"/>
      <c r="D1321" s="2"/>
      <c r="E1321" s="2"/>
      <c r="F1321" s="2"/>
    </row>
    <row r="1322" spans="1:6" x14ac:dyDescent="0.3">
      <c r="A1322" s="12"/>
      <c r="B1322" s="2"/>
      <c r="C1322" s="2"/>
      <c r="D1322" s="2"/>
      <c r="E1322" s="2"/>
      <c r="F1322" s="2"/>
    </row>
    <row r="1323" spans="1:6" x14ac:dyDescent="0.3">
      <c r="A1323" s="12"/>
      <c r="B1323" s="2"/>
      <c r="C1323" s="2"/>
      <c r="D1323" s="2"/>
      <c r="E1323" s="2"/>
      <c r="F1323" s="2"/>
    </row>
    <row r="1324" spans="1:6" x14ac:dyDescent="0.3">
      <c r="A1324" s="12"/>
      <c r="B1324" s="2"/>
      <c r="C1324" s="2"/>
      <c r="D1324" s="2"/>
      <c r="E1324" s="2"/>
      <c r="F1324" s="2"/>
    </row>
    <row r="1325" spans="1:6" x14ac:dyDescent="0.3">
      <c r="A1325" s="12"/>
      <c r="B1325" s="2"/>
      <c r="C1325" s="2"/>
      <c r="D1325" s="2"/>
      <c r="E1325" s="2"/>
      <c r="F1325" s="2"/>
    </row>
    <row r="1326" spans="1:6" x14ac:dyDescent="0.3">
      <c r="A1326" s="12"/>
      <c r="B1326" s="2"/>
      <c r="C1326" s="2"/>
      <c r="D1326" s="2"/>
      <c r="E1326" s="2"/>
      <c r="F1326" s="2"/>
    </row>
    <row r="1327" spans="1:6" x14ac:dyDescent="0.3">
      <c r="A1327" s="12"/>
      <c r="B1327" s="2"/>
      <c r="C1327" s="2"/>
      <c r="D1327" s="2"/>
      <c r="E1327" s="2"/>
      <c r="F1327" s="2"/>
    </row>
    <row r="1328" spans="1:6" x14ac:dyDescent="0.3">
      <c r="A1328" s="12"/>
      <c r="B1328" s="2"/>
      <c r="C1328" s="2"/>
      <c r="D1328" s="2"/>
      <c r="E1328" s="2"/>
      <c r="F1328" s="2"/>
    </row>
    <row r="1329" spans="1:6" x14ac:dyDescent="0.3">
      <c r="A1329" s="12"/>
      <c r="B1329" s="2"/>
      <c r="C1329" s="2"/>
      <c r="D1329" s="2"/>
      <c r="E1329" s="2"/>
      <c r="F1329" s="2"/>
    </row>
    <row r="1330" spans="1:6" x14ac:dyDescent="0.3">
      <c r="A1330" s="12"/>
      <c r="B1330" s="2"/>
      <c r="C1330" s="2"/>
      <c r="D1330" s="2"/>
      <c r="E1330" s="2"/>
      <c r="F1330" s="2"/>
    </row>
    <row r="1331" spans="1:6" x14ac:dyDescent="0.3">
      <c r="A1331" s="12"/>
      <c r="B1331" s="2"/>
      <c r="C1331" s="2"/>
      <c r="D1331" s="2"/>
      <c r="E1331" s="2"/>
      <c r="F1331" s="2"/>
    </row>
    <row r="1332" spans="1:6" x14ac:dyDescent="0.3">
      <c r="A1332" s="12"/>
      <c r="B1332" s="2"/>
      <c r="C1332" s="2"/>
      <c r="D1332" s="2"/>
      <c r="E1332" s="2"/>
      <c r="F1332" s="2"/>
    </row>
    <row r="1333" spans="1:6" x14ac:dyDescent="0.3">
      <c r="A1333" s="12"/>
      <c r="B1333" s="2"/>
      <c r="C1333" s="2"/>
      <c r="D1333" s="2"/>
      <c r="E1333" s="2"/>
      <c r="F1333" s="2"/>
    </row>
    <row r="1334" spans="1:6" x14ac:dyDescent="0.3">
      <c r="A1334" s="12"/>
      <c r="B1334" s="2"/>
      <c r="C1334" s="2"/>
      <c r="D1334" s="2"/>
      <c r="E1334" s="2"/>
      <c r="F1334" s="2"/>
    </row>
    <row r="1335" spans="1:6" x14ac:dyDescent="0.3">
      <c r="A1335" s="12"/>
      <c r="B1335" s="2"/>
      <c r="C1335" s="2"/>
      <c r="D1335" s="2"/>
      <c r="E1335" s="2"/>
      <c r="F1335" s="2"/>
    </row>
    <row r="1336" spans="1:6" x14ac:dyDescent="0.3">
      <c r="A1336" s="12"/>
      <c r="B1336" s="2"/>
      <c r="C1336" s="2"/>
      <c r="D1336" s="2"/>
      <c r="E1336" s="2"/>
      <c r="F1336" s="2"/>
    </row>
    <row r="1337" spans="1:6" x14ac:dyDescent="0.3">
      <c r="A1337" s="12"/>
      <c r="B1337" s="2"/>
      <c r="C1337" s="2"/>
      <c r="D1337" s="2"/>
      <c r="E1337" s="2"/>
      <c r="F1337" s="2"/>
    </row>
    <row r="1338" spans="1:6" x14ac:dyDescent="0.3">
      <c r="A1338" s="12"/>
      <c r="B1338" s="2"/>
      <c r="C1338" s="2"/>
      <c r="D1338" s="2"/>
      <c r="E1338" s="2"/>
      <c r="F1338" s="2"/>
    </row>
    <row r="1339" spans="1:6" x14ac:dyDescent="0.3">
      <c r="A1339" s="12"/>
      <c r="B1339" s="2"/>
      <c r="C1339" s="2"/>
      <c r="D1339" s="2"/>
      <c r="E1339" s="2"/>
      <c r="F1339" s="2"/>
    </row>
    <row r="1340" spans="1:6" x14ac:dyDescent="0.3">
      <c r="A1340" s="12"/>
      <c r="B1340" s="2"/>
      <c r="C1340" s="2"/>
      <c r="D1340" s="2"/>
      <c r="E1340" s="2"/>
      <c r="F1340" s="2"/>
    </row>
    <row r="1341" spans="1:6" x14ac:dyDescent="0.3">
      <c r="A1341" s="12"/>
      <c r="B1341" s="2"/>
      <c r="C1341" s="2"/>
      <c r="D1341" s="2"/>
      <c r="E1341" s="2"/>
      <c r="F1341" s="2"/>
    </row>
    <row r="1342" spans="1:6" x14ac:dyDescent="0.3">
      <c r="A1342" s="12"/>
      <c r="B1342" s="2"/>
      <c r="C1342" s="2"/>
      <c r="D1342" s="2"/>
      <c r="E1342" s="2"/>
      <c r="F1342" s="2"/>
    </row>
    <row r="1343" spans="1:6" x14ac:dyDescent="0.3">
      <c r="A1343" s="12"/>
      <c r="B1343" s="2"/>
      <c r="C1343" s="2"/>
      <c r="D1343" s="2"/>
      <c r="E1343" s="2"/>
      <c r="F1343" s="2"/>
    </row>
    <row r="1344" spans="1:6" x14ac:dyDescent="0.3">
      <c r="A1344" s="12"/>
      <c r="B1344" s="2"/>
      <c r="C1344" s="2"/>
      <c r="D1344" s="2"/>
      <c r="E1344" s="2"/>
      <c r="F1344" s="2"/>
    </row>
    <row r="1345" spans="1:6" x14ac:dyDescent="0.3">
      <c r="A1345" s="12"/>
      <c r="B1345" s="2"/>
      <c r="C1345" s="2"/>
      <c r="D1345" s="2"/>
      <c r="E1345" s="2"/>
      <c r="F1345" s="2"/>
    </row>
    <row r="1346" spans="1:6" x14ac:dyDescent="0.3">
      <c r="A1346" s="12"/>
      <c r="B1346" s="2"/>
      <c r="C1346" s="2"/>
      <c r="D1346" s="2"/>
      <c r="E1346" s="2"/>
      <c r="F1346" s="2"/>
    </row>
    <row r="1347" spans="1:6" x14ac:dyDescent="0.3">
      <c r="A1347" s="12"/>
      <c r="B1347" s="2"/>
      <c r="C1347" s="2"/>
      <c r="D1347" s="2"/>
      <c r="E1347" s="2"/>
      <c r="F1347" s="2"/>
    </row>
    <row r="1348" spans="1:6" x14ac:dyDescent="0.3">
      <c r="A1348" s="12"/>
      <c r="B1348" s="2"/>
      <c r="C1348" s="2"/>
      <c r="D1348" s="2"/>
      <c r="E1348" s="2"/>
      <c r="F1348" s="2"/>
    </row>
    <row r="1349" spans="1:6" x14ac:dyDescent="0.3">
      <c r="A1349" s="12"/>
      <c r="B1349" s="2"/>
      <c r="C1349" s="2"/>
      <c r="D1349" s="2"/>
      <c r="E1349" s="2"/>
      <c r="F1349" s="2"/>
    </row>
    <row r="1350" spans="1:6" x14ac:dyDescent="0.3">
      <c r="A1350" s="12"/>
      <c r="B1350" s="2"/>
      <c r="C1350" s="2"/>
      <c r="D1350" s="2"/>
      <c r="E1350" s="2"/>
      <c r="F1350" s="2"/>
    </row>
    <row r="1351" spans="1:6" x14ac:dyDescent="0.3">
      <c r="A1351" s="12"/>
      <c r="B1351" s="2"/>
      <c r="C1351" s="2"/>
      <c r="D1351" s="2"/>
      <c r="E1351" s="2"/>
      <c r="F1351" s="2"/>
    </row>
    <row r="1352" spans="1:6" x14ac:dyDescent="0.3">
      <c r="A1352" s="12"/>
      <c r="B1352" s="2"/>
      <c r="C1352" s="2"/>
      <c r="D1352" s="2"/>
      <c r="E1352" s="2"/>
      <c r="F1352" s="2"/>
    </row>
    <row r="1353" spans="1:6" x14ac:dyDescent="0.3">
      <c r="A1353" s="12"/>
      <c r="B1353" s="2"/>
      <c r="C1353" s="2"/>
      <c r="D1353" s="2"/>
      <c r="E1353" s="2"/>
      <c r="F1353" s="2"/>
    </row>
    <row r="1354" spans="1:6" x14ac:dyDescent="0.3">
      <c r="A1354" s="12"/>
      <c r="B1354" s="2"/>
      <c r="C1354" s="2"/>
      <c r="D1354" s="2"/>
      <c r="E1354" s="2"/>
      <c r="F1354" s="2"/>
    </row>
    <row r="1355" spans="1:6" x14ac:dyDescent="0.3">
      <c r="A1355" s="12"/>
      <c r="B1355" s="2"/>
      <c r="C1355" s="2"/>
      <c r="D1355" s="2"/>
      <c r="E1355" s="2"/>
      <c r="F1355" s="2"/>
    </row>
    <row r="1356" spans="1:6" x14ac:dyDescent="0.3">
      <c r="A1356" s="12"/>
      <c r="B1356" s="2"/>
      <c r="C1356" s="2"/>
      <c r="D1356" s="2"/>
      <c r="E1356" s="2"/>
      <c r="F1356" s="2"/>
    </row>
    <row r="1357" spans="1:6" x14ac:dyDescent="0.3">
      <c r="A1357" s="12"/>
      <c r="B1357" s="2"/>
      <c r="C1357" s="2"/>
      <c r="D1357" s="2"/>
      <c r="E1357" s="2"/>
      <c r="F1357" s="2"/>
    </row>
    <row r="1358" spans="1:6" x14ac:dyDescent="0.3">
      <c r="A1358" s="12"/>
      <c r="B1358" s="2"/>
      <c r="C1358" s="2"/>
      <c r="D1358" s="2"/>
      <c r="E1358" s="2"/>
      <c r="F1358" s="2"/>
    </row>
    <row r="1359" spans="1:6" x14ac:dyDescent="0.3">
      <c r="A1359" s="12"/>
      <c r="B1359" s="2"/>
      <c r="C1359" s="2"/>
      <c r="D1359" s="2"/>
      <c r="E1359" s="2"/>
      <c r="F1359" s="2"/>
    </row>
    <row r="1360" spans="1:6" x14ac:dyDescent="0.3">
      <c r="A1360" s="12"/>
      <c r="B1360" s="2"/>
      <c r="C1360" s="2"/>
      <c r="D1360" s="2"/>
      <c r="E1360" s="2"/>
      <c r="F1360" s="2"/>
    </row>
    <row r="1361" spans="1:6" x14ac:dyDescent="0.3">
      <c r="A1361" s="12"/>
      <c r="B1361" s="2"/>
      <c r="C1361" s="2"/>
      <c r="D1361" s="2"/>
      <c r="E1361" s="2"/>
      <c r="F1361" s="2"/>
    </row>
    <row r="1362" spans="1:6" x14ac:dyDescent="0.3">
      <c r="A1362" s="12"/>
      <c r="B1362" s="2"/>
      <c r="C1362" s="2"/>
      <c r="D1362" s="2"/>
      <c r="E1362" s="2"/>
      <c r="F1362" s="2"/>
    </row>
    <row r="1363" spans="1:6" x14ac:dyDescent="0.3">
      <c r="A1363" s="12"/>
      <c r="B1363" s="2"/>
      <c r="C1363" s="2"/>
      <c r="D1363" s="2"/>
      <c r="E1363" s="2"/>
      <c r="F1363" s="2"/>
    </row>
    <row r="1364" spans="1:6" x14ac:dyDescent="0.3">
      <c r="A1364" s="12"/>
      <c r="B1364" s="2"/>
      <c r="C1364" s="2"/>
      <c r="D1364" s="2"/>
      <c r="E1364" s="2"/>
      <c r="F1364" s="2"/>
    </row>
    <row r="1365" spans="1:6" x14ac:dyDescent="0.3">
      <c r="A1365" s="12"/>
      <c r="B1365" s="2"/>
      <c r="C1365" s="2"/>
      <c r="D1365" s="2"/>
      <c r="E1365" s="2"/>
      <c r="F1365" s="2"/>
    </row>
    <row r="1366" spans="1:6" x14ac:dyDescent="0.3">
      <c r="A1366" s="12"/>
      <c r="B1366" s="2"/>
      <c r="C1366" s="2"/>
      <c r="D1366" s="2"/>
      <c r="E1366" s="2"/>
      <c r="F1366" s="2"/>
    </row>
    <row r="1367" spans="1:6" x14ac:dyDescent="0.3">
      <c r="A1367" s="12"/>
      <c r="B1367" s="2"/>
      <c r="C1367" s="2"/>
      <c r="D1367" s="2"/>
      <c r="E1367" s="2"/>
      <c r="F1367" s="2"/>
    </row>
    <row r="1368" spans="1:6" x14ac:dyDescent="0.3">
      <c r="A1368" s="12"/>
      <c r="B1368" s="2"/>
      <c r="C1368" s="2"/>
      <c r="D1368" s="2"/>
      <c r="E1368" s="2"/>
      <c r="F1368" s="2"/>
    </row>
    <row r="1369" spans="1:6" x14ac:dyDescent="0.3">
      <c r="A1369" s="12"/>
      <c r="B1369" s="2"/>
      <c r="C1369" s="2"/>
      <c r="D1369" s="2"/>
      <c r="E1369" s="2"/>
      <c r="F1369" s="2"/>
    </row>
    <row r="1370" spans="1:6" x14ac:dyDescent="0.3">
      <c r="A1370" s="12"/>
      <c r="B1370" s="2"/>
      <c r="C1370" s="2"/>
      <c r="D1370" s="2"/>
      <c r="E1370" s="2"/>
      <c r="F1370" s="2"/>
    </row>
    <row r="1371" spans="1:6" x14ac:dyDescent="0.3">
      <c r="A1371" s="12"/>
      <c r="B1371" s="2"/>
      <c r="C1371" s="2"/>
      <c r="D1371" s="2"/>
      <c r="E1371" s="2"/>
      <c r="F1371" s="2"/>
    </row>
    <row r="1372" spans="1:6" x14ac:dyDescent="0.3">
      <c r="A1372" s="12"/>
      <c r="B1372" s="2"/>
      <c r="C1372" s="2"/>
      <c r="D1372" s="2"/>
      <c r="E1372" s="2"/>
      <c r="F1372" s="2"/>
    </row>
    <row r="1373" spans="1:6" x14ac:dyDescent="0.3">
      <c r="A1373" s="12"/>
      <c r="B1373" s="2"/>
      <c r="C1373" s="2"/>
      <c r="D1373" s="2"/>
      <c r="E1373" s="2"/>
      <c r="F1373" s="2"/>
    </row>
    <row r="1374" spans="1:6" x14ac:dyDescent="0.3">
      <c r="A1374" s="12"/>
      <c r="B1374" s="2"/>
      <c r="C1374" s="2"/>
      <c r="D1374" s="2"/>
      <c r="E1374" s="2"/>
      <c r="F1374" s="2"/>
    </row>
    <row r="1375" spans="1:6" x14ac:dyDescent="0.3">
      <c r="A1375" s="12"/>
      <c r="B1375" s="2"/>
      <c r="C1375" s="2"/>
      <c r="D1375" s="2"/>
      <c r="E1375" s="2"/>
      <c r="F1375" s="2"/>
    </row>
    <row r="1376" spans="1:6" x14ac:dyDescent="0.3">
      <c r="A1376" s="12"/>
      <c r="B1376" s="2"/>
      <c r="C1376" s="2"/>
      <c r="D1376" s="2"/>
      <c r="E1376" s="2"/>
      <c r="F1376" s="2"/>
    </row>
    <row r="1377" spans="1:6" x14ac:dyDescent="0.3">
      <c r="A1377" s="12"/>
      <c r="B1377" s="2"/>
      <c r="C1377" s="2"/>
      <c r="D1377" s="2"/>
      <c r="E1377" s="2"/>
      <c r="F1377" s="2"/>
    </row>
    <row r="1378" spans="1:6" x14ac:dyDescent="0.3">
      <c r="A1378" s="12"/>
      <c r="B1378" s="2"/>
      <c r="C1378" s="2"/>
      <c r="D1378" s="2"/>
      <c r="E1378" s="2"/>
      <c r="F1378" s="2"/>
    </row>
    <row r="1379" spans="1:6" x14ac:dyDescent="0.3">
      <c r="A1379" s="12"/>
      <c r="B1379" s="2"/>
      <c r="C1379" s="2"/>
      <c r="D1379" s="2"/>
      <c r="E1379" s="2"/>
      <c r="F1379" s="2"/>
    </row>
    <row r="1380" spans="1:6" x14ac:dyDescent="0.3">
      <c r="A1380" s="12"/>
      <c r="B1380" s="2"/>
      <c r="C1380" s="2"/>
      <c r="D1380" s="2"/>
      <c r="E1380" s="2"/>
      <c r="F1380" s="2"/>
    </row>
    <row r="1381" spans="1:6" x14ac:dyDescent="0.3">
      <c r="A1381" s="12"/>
      <c r="B1381" s="2"/>
      <c r="C1381" s="2"/>
      <c r="D1381" s="2"/>
      <c r="E1381" s="2"/>
      <c r="F1381" s="2"/>
    </row>
    <row r="1382" spans="1:6" x14ac:dyDescent="0.3">
      <c r="A1382" s="12"/>
      <c r="B1382" s="2"/>
      <c r="C1382" s="2"/>
      <c r="D1382" s="2"/>
      <c r="E1382" s="2"/>
      <c r="F1382" s="2"/>
    </row>
    <row r="1383" spans="1:6" x14ac:dyDescent="0.3">
      <c r="A1383" s="12"/>
      <c r="B1383" s="2"/>
      <c r="C1383" s="2"/>
      <c r="D1383" s="2"/>
      <c r="E1383" s="2"/>
      <c r="F1383" s="2"/>
    </row>
    <row r="1384" spans="1:6" x14ac:dyDescent="0.3">
      <c r="A1384" s="12"/>
      <c r="B1384" s="2"/>
      <c r="C1384" s="2"/>
      <c r="D1384" s="2"/>
      <c r="E1384" s="2"/>
      <c r="F1384" s="2"/>
    </row>
    <row r="1385" spans="1:6" x14ac:dyDescent="0.3">
      <c r="A1385" s="12"/>
      <c r="B1385" s="2"/>
      <c r="C1385" s="2"/>
      <c r="D1385" s="2"/>
      <c r="E1385" s="2"/>
      <c r="F1385" s="2"/>
    </row>
    <row r="1386" spans="1:6" x14ac:dyDescent="0.3">
      <c r="A1386" s="12"/>
      <c r="B1386" s="2"/>
      <c r="C1386" s="2"/>
      <c r="D1386" s="2"/>
      <c r="E1386" s="2"/>
      <c r="F1386" s="2"/>
    </row>
    <row r="1387" spans="1:6" x14ac:dyDescent="0.3">
      <c r="A1387" s="12"/>
      <c r="B1387" s="2"/>
      <c r="C1387" s="2"/>
      <c r="D1387" s="2"/>
      <c r="E1387" s="2"/>
      <c r="F1387" s="2"/>
    </row>
    <row r="1388" spans="1:6" x14ac:dyDescent="0.3">
      <c r="A1388" s="12"/>
      <c r="B1388" s="2"/>
      <c r="C1388" s="2"/>
      <c r="D1388" s="2"/>
      <c r="E1388" s="2"/>
      <c r="F1388" s="2"/>
    </row>
    <row r="1389" spans="1:6" x14ac:dyDescent="0.3">
      <c r="A1389" s="12"/>
      <c r="B1389" s="2"/>
      <c r="C1389" s="2"/>
      <c r="D1389" s="2"/>
      <c r="E1389" s="2"/>
      <c r="F1389" s="2"/>
    </row>
    <row r="1390" spans="1:6" x14ac:dyDescent="0.3">
      <c r="A1390" s="12"/>
      <c r="B1390" s="2"/>
      <c r="C1390" s="2"/>
      <c r="D1390" s="2"/>
      <c r="E1390" s="2"/>
      <c r="F1390" s="2"/>
    </row>
    <row r="1391" spans="1:6" x14ac:dyDescent="0.3">
      <c r="A1391" s="12"/>
      <c r="B1391" s="2"/>
      <c r="C1391" s="2"/>
      <c r="D1391" s="2"/>
      <c r="E1391" s="2"/>
      <c r="F1391" s="2"/>
    </row>
    <row r="1392" spans="1:6" x14ac:dyDescent="0.3">
      <c r="A1392" s="12"/>
      <c r="B1392" s="2"/>
      <c r="C1392" s="2"/>
      <c r="D1392" s="2"/>
      <c r="E1392" s="2"/>
      <c r="F1392" s="2"/>
    </row>
    <row r="1393" spans="1:6" x14ac:dyDescent="0.3">
      <c r="A1393" s="12"/>
      <c r="B1393" s="2"/>
      <c r="C1393" s="2"/>
      <c r="D1393" s="2"/>
      <c r="E1393" s="2"/>
      <c r="F1393" s="2"/>
    </row>
    <row r="1394" spans="1:6" x14ac:dyDescent="0.3">
      <c r="A1394" s="12"/>
      <c r="B1394" s="2"/>
      <c r="C1394" s="2"/>
      <c r="D1394" s="2"/>
      <c r="E1394" s="2"/>
      <c r="F1394" s="2"/>
    </row>
    <row r="1395" spans="1:6" x14ac:dyDescent="0.3">
      <c r="A1395" s="12"/>
      <c r="B1395" s="2"/>
      <c r="C1395" s="2"/>
      <c r="D1395" s="2"/>
      <c r="E1395" s="2"/>
      <c r="F1395" s="2"/>
    </row>
    <row r="1396" spans="1:6" x14ac:dyDescent="0.3">
      <c r="A1396" s="12"/>
      <c r="B1396" s="2"/>
      <c r="C1396" s="2"/>
      <c r="D1396" s="2"/>
      <c r="E1396" s="2"/>
      <c r="F1396" s="2"/>
    </row>
    <row r="1397" spans="1:6" x14ac:dyDescent="0.3">
      <c r="A1397" s="12"/>
      <c r="B1397" s="2"/>
      <c r="C1397" s="2"/>
      <c r="D1397" s="2"/>
      <c r="E1397" s="2"/>
      <c r="F1397" s="2"/>
    </row>
    <row r="1398" spans="1:6" x14ac:dyDescent="0.3">
      <c r="A1398" s="12"/>
      <c r="B1398" s="2"/>
      <c r="C1398" s="2"/>
      <c r="D1398" s="2"/>
      <c r="E1398" s="2"/>
      <c r="F1398" s="2"/>
    </row>
    <row r="1399" spans="1:6" x14ac:dyDescent="0.3">
      <c r="A1399" s="12"/>
      <c r="B1399" s="2"/>
      <c r="C1399" s="2"/>
      <c r="D1399" s="2"/>
      <c r="E1399" s="2"/>
      <c r="F1399" s="2"/>
    </row>
    <row r="1400" spans="1:6" x14ac:dyDescent="0.3">
      <c r="A1400" s="12"/>
      <c r="B1400" s="2"/>
      <c r="C1400" s="2"/>
      <c r="D1400" s="2"/>
      <c r="E1400" s="2"/>
      <c r="F1400" s="2"/>
    </row>
    <row r="1401" spans="1:6" x14ac:dyDescent="0.3">
      <c r="A1401" s="12"/>
      <c r="B1401" s="2"/>
      <c r="C1401" s="2"/>
      <c r="D1401" s="2"/>
      <c r="E1401" s="2"/>
      <c r="F1401" s="2"/>
    </row>
    <row r="1402" spans="1:6" x14ac:dyDescent="0.3">
      <c r="A1402" s="12"/>
      <c r="B1402" s="2"/>
      <c r="C1402" s="2"/>
      <c r="D1402" s="2"/>
      <c r="E1402" s="2"/>
      <c r="F1402" s="2"/>
    </row>
    <row r="1403" spans="1:6" x14ac:dyDescent="0.3">
      <c r="A1403" s="12"/>
      <c r="B1403" s="2"/>
      <c r="C1403" s="2"/>
      <c r="D1403" s="2"/>
      <c r="E1403" s="2"/>
      <c r="F1403" s="2"/>
    </row>
    <row r="1404" spans="1:6" x14ac:dyDescent="0.3">
      <c r="A1404" s="12"/>
      <c r="B1404" s="2"/>
      <c r="C1404" s="2"/>
      <c r="D1404" s="2"/>
      <c r="E1404" s="2"/>
      <c r="F1404" s="2"/>
    </row>
    <row r="1405" spans="1:6" x14ac:dyDescent="0.3">
      <c r="A1405" s="12"/>
      <c r="B1405" s="2"/>
      <c r="C1405" s="2"/>
      <c r="D1405" s="2"/>
      <c r="E1405" s="2"/>
      <c r="F1405" s="2"/>
    </row>
    <row r="1406" spans="1:6" x14ac:dyDescent="0.3">
      <c r="A1406" s="12"/>
      <c r="B1406" s="2"/>
      <c r="C1406" s="2"/>
      <c r="D1406" s="2"/>
      <c r="E1406" s="2"/>
      <c r="F1406" s="2"/>
    </row>
    <row r="1407" spans="1:6" x14ac:dyDescent="0.3">
      <c r="A1407" s="12"/>
      <c r="B1407" s="2"/>
      <c r="C1407" s="2"/>
      <c r="D1407" s="2"/>
      <c r="E1407" s="2"/>
      <c r="F1407" s="2"/>
    </row>
    <row r="1408" spans="1:6" x14ac:dyDescent="0.3">
      <c r="A1408" s="12"/>
      <c r="B1408" s="2"/>
      <c r="C1408" s="2"/>
      <c r="D1408" s="2"/>
      <c r="E1408" s="2"/>
      <c r="F1408" s="2"/>
    </row>
    <row r="1409" spans="1:6" x14ac:dyDescent="0.3">
      <c r="A1409" s="12"/>
      <c r="B1409" s="2"/>
      <c r="C1409" s="2"/>
      <c r="D1409" s="2"/>
      <c r="E1409" s="2"/>
      <c r="F1409" s="2"/>
    </row>
    <row r="1410" spans="1:6" x14ac:dyDescent="0.3">
      <c r="A1410" s="12"/>
      <c r="B1410" s="2"/>
      <c r="C1410" s="2"/>
      <c r="D1410" s="2"/>
      <c r="E1410" s="2"/>
      <c r="F1410" s="2"/>
    </row>
    <row r="1411" spans="1:6" x14ac:dyDescent="0.3">
      <c r="A1411" s="12"/>
      <c r="B1411" s="2"/>
      <c r="C1411" s="2"/>
      <c r="D1411" s="2"/>
      <c r="E1411" s="2"/>
      <c r="F1411" s="2"/>
    </row>
    <row r="1412" spans="1:6" x14ac:dyDescent="0.3">
      <c r="A1412" s="12"/>
      <c r="B1412" s="2"/>
      <c r="C1412" s="2"/>
      <c r="D1412" s="2"/>
      <c r="E1412" s="2"/>
      <c r="F1412" s="2"/>
    </row>
    <row r="1413" spans="1:6" x14ac:dyDescent="0.3">
      <c r="A1413" s="12"/>
      <c r="B1413" s="2"/>
      <c r="C1413" s="2"/>
      <c r="D1413" s="2"/>
      <c r="E1413" s="2"/>
      <c r="F1413" s="2"/>
    </row>
    <row r="1414" spans="1:6" x14ac:dyDescent="0.3">
      <c r="A1414" s="12"/>
      <c r="B1414" s="2"/>
      <c r="C1414" s="2"/>
      <c r="D1414" s="2"/>
      <c r="E1414" s="2"/>
      <c r="F1414" s="2"/>
    </row>
    <row r="1415" spans="1:6" x14ac:dyDescent="0.3">
      <c r="A1415" s="12"/>
      <c r="B1415" s="2"/>
      <c r="C1415" s="2"/>
      <c r="D1415" s="2"/>
      <c r="E1415" s="2"/>
      <c r="F1415" s="2"/>
    </row>
    <row r="1416" spans="1:6" x14ac:dyDescent="0.3">
      <c r="A1416" s="12"/>
      <c r="B1416" s="2"/>
      <c r="C1416" s="2"/>
      <c r="D1416" s="2"/>
      <c r="E1416" s="2"/>
      <c r="F1416" s="2"/>
    </row>
    <row r="1417" spans="1:6" x14ac:dyDescent="0.3">
      <c r="A1417" s="12"/>
      <c r="B1417" s="2"/>
      <c r="C1417" s="2"/>
      <c r="D1417" s="2"/>
      <c r="E1417" s="2"/>
      <c r="F1417" s="2"/>
    </row>
    <row r="1418" spans="1:6" x14ac:dyDescent="0.3">
      <c r="A1418" s="12"/>
      <c r="B1418" s="2"/>
      <c r="C1418" s="2"/>
      <c r="D1418" s="2"/>
      <c r="E1418" s="2"/>
      <c r="F1418" s="2"/>
    </row>
    <row r="1419" spans="1:6" x14ac:dyDescent="0.3">
      <c r="A1419" s="12"/>
      <c r="B1419" s="2"/>
      <c r="C1419" s="2"/>
      <c r="D1419" s="2"/>
      <c r="E1419" s="2"/>
      <c r="F1419" s="2"/>
    </row>
    <row r="1420" spans="1:6" x14ac:dyDescent="0.3">
      <c r="A1420" s="12"/>
      <c r="B1420" s="2"/>
      <c r="C1420" s="2"/>
      <c r="D1420" s="2"/>
      <c r="E1420" s="2"/>
      <c r="F1420" s="2"/>
    </row>
    <row r="1421" spans="1:6" x14ac:dyDescent="0.3">
      <c r="A1421" s="12"/>
      <c r="B1421" s="2"/>
      <c r="C1421" s="2"/>
      <c r="D1421" s="2"/>
      <c r="E1421" s="2"/>
      <c r="F1421" s="2"/>
    </row>
    <row r="1422" spans="1:6" x14ac:dyDescent="0.3">
      <c r="A1422" s="12"/>
      <c r="B1422" s="2"/>
      <c r="C1422" s="2"/>
      <c r="D1422" s="2"/>
      <c r="E1422" s="2"/>
      <c r="F1422" s="2"/>
    </row>
    <row r="1423" spans="1:6" x14ac:dyDescent="0.3">
      <c r="A1423" s="12"/>
      <c r="B1423" s="2"/>
      <c r="C1423" s="2"/>
      <c r="D1423" s="2"/>
      <c r="E1423" s="2"/>
      <c r="F1423" s="2"/>
    </row>
    <row r="1424" spans="1:6" x14ac:dyDescent="0.3">
      <c r="A1424" s="12"/>
      <c r="B1424" s="2"/>
      <c r="C1424" s="2"/>
      <c r="D1424" s="2"/>
      <c r="E1424" s="2"/>
      <c r="F1424" s="2"/>
    </row>
    <row r="1425" spans="1:6" x14ac:dyDescent="0.3">
      <c r="A1425" s="12"/>
      <c r="B1425" s="2"/>
      <c r="C1425" s="2"/>
      <c r="D1425" s="2"/>
      <c r="E1425" s="2"/>
      <c r="F1425" s="2"/>
    </row>
    <row r="1426" spans="1:6" x14ac:dyDescent="0.3">
      <c r="A1426" s="12"/>
      <c r="B1426" s="2"/>
      <c r="C1426" s="2"/>
      <c r="D1426" s="2"/>
      <c r="E1426" s="2"/>
      <c r="F1426" s="2"/>
    </row>
    <row r="1427" spans="1:6" x14ac:dyDescent="0.3">
      <c r="A1427" s="12"/>
      <c r="B1427" s="2"/>
      <c r="C1427" s="2"/>
      <c r="D1427" s="2"/>
      <c r="E1427" s="2"/>
      <c r="F1427" s="2"/>
    </row>
    <row r="1428" spans="1:6" x14ac:dyDescent="0.3">
      <c r="A1428" s="12"/>
      <c r="B1428" s="2"/>
      <c r="C1428" s="2"/>
      <c r="D1428" s="2"/>
      <c r="E1428" s="2"/>
      <c r="F1428" s="2"/>
    </row>
    <row r="1429" spans="1:6" x14ac:dyDescent="0.3">
      <c r="A1429" s="12"/>
      <c r="B1429" s="2"/>
      <c r="C1429" s="2"/>
      <c r="D1429" s="2"/>
      <c r="E1429" s="2"/>
      <c r="F1429" s="2"/>
    </row>
    <row r="1430" spans="1:6" x14ac:dyDescent="0.3">
      <c r="A1430" s="12"/>
      <c r="B1430" s="2"/>
      <c r="C1430" s="2"/>
      <c r="D1430" s="2"/>
      <c r="E1430" s="2"/>
      <c r="F1430" s="2"/>
    </row>
    <row r="1431" spans="1:6" x14ac:dyDescent="0.3">
      <c r="A1431" s="12"/>
      <c r="B1431" s="2"/>
      <c r="C1431" s="2"/>
      <c r="D1431" s="2"/>
      <c r="E1431" s="2"/>
      <c r="F1431" s="2"/>
    </row>
    <row r="1432" spans="1:6" x14ac:dyDescent="0.3">
      <c r="A1432" s="12"/>
      <c r="B1432" s="2"/>
      <c r="C1432" s="2"/>
      <c r="D1432" s="2"/>
      <c r="E1432" s="2"/>
      <c r="F1432" s="2"/>
    </row>
    <row r="1433" spans="1:6" x14ac:dyDescent="0.3">
      <c r="A1433" s="12"/>
      <c r="B1433" s="2"/>
      <c r="C1433" s="2"/>
      <c r="D1433" s="2"/>
      <c r="E1433" s="2"/>
      <c r="F1433" s="2"/>
    </row>
    <row r="1434" spans="1:6" x14ac:dyDescent="0.3">
      <c r="A1434" s="12"/>
      <c r="B1434" s="2"/>
      <c r="C1434" s="2"/>
      <c r="D1434" s="2"/>
      <c r="E1434" s="2"/>
      <c r="F1434" s="2"/>
    </row>
    <row r="1435" spans="1:6" x14ac:dyDescent="0.3">
      <c r="A1435" s="12"/>
      <c r="B1435" s="2"/>
      <c r="C1435" s="2"/>
      <c r="D1435" s="2"/>
      <c r="E1435" s="2"/>
      <c r="F1435" s="2"/>
    </row>
    <row r="1436" spans="1:6" x14ac:dyDescent="0.3">
      <c r="A1436" s="12"/>
      <c r="B1436" s="2"/>
      <c r="C1436" s="2"/>
      <c r="D1436" s="2"/>
      <c r="E1436" s="2"/>
      <c r="F1436" s="2"/>
    </row>
    <row r="1437" spans="1:6" x14ac:dyDescent="0.3">
      <c r="A1437" s="12"/>
      <c r="B1437" s="2"/>
      <c r="C1437" s="2"/>
      <c r="D1437" s="2"/>
      <c r="E1437" s="2"/>
      <c r="F1437" s="2"/>
    </row>
    <row r="1438" spans="1:6" x14ac:dyDescent="0.3">
      <c r="A1438" s="12"/>
      <c r="B1438" s="2"/>
      <c r="C1438" s="2"/>
      <c r="D1438" s="2"/>
      <c r="E1438" s="2"/>
      <c r="F1438" s="2"/>
    </row>
    <row r="1439" spans="1:6" x14ac:dyDescent="0.3">
      <c r="A1439" s="12"/>
      <c r="B1439" s="2"/>
      <c r="C1439" s="2"/>
      <c r="D1439" s="2"/>
      <c r="E1439" s="2"/>
      <c r="F1439" s="2"/>
    </row>
    <row r="1440" spans="1:6" x14ac:dyDescent="0.3">
      <c r="A1440" s="12"/>
      <c r="B1440" s="2"/>
      <c r="C1440" s="2"/>
      <c r="D1440" s="2"/>
      <c r="E1440" s="2"/>
      <c r="F1440" s="2"/>
    </row>
    <row r="1441" spans="1:6" x14ac:dyDescent="0.3">
      <c r="A1441" s="12"/>
      <c r="B1441" s="2"/>
      <c r="C1441" s="2"/>
      <c r="D1441" s="2"/>
      <c r="E1441" s="2"/>
      <c r="F1441" s="2"/>
    </row>
    <row r="1442" spans="1:6" x14ac:dyDescent="0.3">
      <c r="A1442" s="12"/>
      <c r="B1442" s="2"/>
      <c r="C1442" s="2"/>
      <c r="D1442" s="2"/>
      <c r="E1442" s="2"/>
      <c r="F1442" s="2"/>
    </row>
    <row r="1443" spans="1:6" x14ac:dyDescent="0.3">
      <c r="A1443" s="12"/>
      <c r="B1443" s="2"/>
      <c r="C1443" s="2"/>
      <c r="D1443" s="2"/>
      <c r="E1443" s="2"/>
      <c r="F1443" s="2"/>
    </row>
    <row r="1444" spans="1:6" x14ac:dyDescent="0.3">
      <c r="A1444" s="12"/>
      <c r="B1444" s="2"/>
      <c r="C1444" s="2"/>
      <c r="D1444" s="2"/>
      <c r="E1444" s="2"/>
      <c r="F1444" s="2"/>
    </row>
    <row r="1445" spans="1:6" x14ac:dyDescent="0.3">
      <c r="A1445" s="12"/>
      <c r="B1445" s="2"/>
      <c r="C1445" s="2"/>
      <c r="D1445" s="2"/>
      <c r="E1445" s="2"/>
      <c r="F1445" s="2"/>
    </row>
    <row r="1446" spans="1:6" x14ac:dyDescent="0.3">
      <c r="A1446" s="12"/>
      <c r="B1446" s="2"/>
      <c r="C1446" s="2"/>
      <c r="D1446" s="2"/>
      <c r="E1446" s="2"/>
      <c r="F1446" s="2"/>
    </row>
    <row r="1447" spans="1:6" x14ac:dyDescent="0.3">
      <c r="A1447" s="12"/>
      <c r="B1447" s="2"/>
      <c r="C1447" s="2"/>
      <c r="D1447" s="2"/>
      <c r="E1447" s="2"/>
      <c r="F1447" s="2"/>
    </row>
    <row r="1448" spans="1:6" x14ac:dyDescent="0.3">
      <c r="A1448" s="12"/>
      <c r="B1448" s="2"/>
      <c r="C1448" s="2"/>
      <c r="D1448" s="2"/>
      <c r="E1448" s="2"/>
      <c r="F1448" s="2"/>
    </row>
    <row r="1449" spans="1:6" x14ac:dyDescent="0.3">
      <c r="A1449" s="12"/>
      <c r="B1449" s="2"/>
      <c r="C1449" s="2"/>
      <c r="D1449" s="2"/>
      <c r="E1449" s="2"/>
      <c r="F1449" s="2"/>
    </row>
    <row r="1450" spans="1:6" x14ac:dyDescent="0.3">
      <c r="A1450" s="12"/>
      <c r="B1450" s="2"/>
      <c r="C1450" s="2"/>
      <c r="D1450" s="2"/>
      <c r="E1450" s="2"/>
      <c r="F1450" s="2"/>
    </row>
    <row r="1451" spans="1:6" x14ac:dyDescent="0.3">
      <c r="A1451" s="12"/>
      <c r="B1451" s="2"/>
      <c r="C1451" s="2"/>
      <c r="D1451" s="2"/>
      <c r="E1451" s="2"/>
      <c r="F1451" s="2"/>
    </row>
    <row r="1452" spans="1:6" x14ac:dyDescent="0.3">
      <c r="A1452" s="12"/>
      <c r="B1452" s="2"/>
      <c r="C1452" s="2"/>
      <c r="D1452" s="2"/>
      <c r="E1452" s="2"/>
      <c r="F1452" s="2"/>
    </row>
    <row r="1453" spans="1:6" x14ac:dyDescent="0.3">
      <c r="A1453" s="12"/>
      <c r="B1453" s="2"/>
      <c r="C1453" s="2"/>
      <c r="D1453" s="2"/>
      <c r="E1453" s="2"/>
      <c r="F1453" s="2"/>
    </row>
    <row r="1454" spans="1:6" x14ac:dyDescent="0.3">
      <c r="A1454" s="12"/>
      <c r="B1454" s="2"/>
      <c r="C1454" s="2"/>
      <c r="D1454" s="2"/>
      <c r="E1454" s="2"/>
      <c r="F1454" s="2"/>
    </row>
    <row r="1455" spans="1:6" x14ac:dyDescent="0.3">
      <c r="A1455" s="12"/>
      <c r="B1455" s="2"/>
      <c r="C1455" s="2"/>
      <c r="D1455" s="2"/>
      <c r="E1455" s="2"/>
      <c r="F1455" s="2"/>
    </row>
    <row r="1456" spans="1:6" x14ac:dyDescent="0.3">
      <c r="A1456" s="12"/>
      <c r="B1456" s="2"/>
      <c r="C1456" s="2"/>
      <c r="D1456" s="2"/>
      <c r="E1456" s="2"/>
      <c r="F1456" s="2"/>
    </row>
    <row r="1457" spans="1:6" x14ac:dyDescent="0.3">
      <c r="A1457" s="12"/>
      <c r="B1457" s="2"/>
      <c r="C1457" s="2"/>
      <c r="D1457" s="2"/>
      <c r="E1457" s="2"/>
      <c r="F1457" s="2"/>
    </row>
    <row r="1458" spans="1:6" x14ac:dyDescent="0.3">
      <c r="A1458" s="12"/>
      <c r="B1458" s="2"/>
      <c r="C1458" s="2"/>
      <c r="D1458" s="2"/>
      <c r="E1458" s="2"/>
      <c r="F1458" s="2"/>
    </row>
    <row r="1459" spans="1:6" x14ac:dyDescent="0.3">
      <c r="A1459" s="12"/>
      <c r="B1459" s="2"/>
      <c r="C1459" s="2"/>
      <c r="D1459" s="2"/>
      <c r="E1459" s="2"/>
      <c r="F1459" s="2"/>
    </row>
    <row r="1460" spans="1:6" x14ac:dyDescent="0.3">
      <c r="A1460" s="12"/>
      <c r="B1460" s="2"/>
      <c r="C1460" s="2"/>
      <c r="D1460" s="2"/>
      <c r="E1460" s="2"/>
      <c r="F1460" s="2"/>
    </row>
    <row r="1461" spans="1:6" x14ac:dyDescent="0.3">
      <c r="A1461" s="12"/>
      <c r="B1461" s="2"/>
      <c r="C1461" s="2"/>
      <c r="D1461" s="2"/>
      <c r="E1461" s="2"/>
      <c r="F1461" s="2"/>
    </row>
    <row r="1462" spans="1:6" x14ac:dyDescent="0.3">
      <c r="A1462" s="12"/>
      <c r="B1462" s="2"/>
      <c r="C1462" s="2"/>
      <c r="D1462" s="2"/>
      <c r="E1462" s="2"/>
      <c r="F1462" s="2"/>
    </row>
    <row r="1463" spans="1:6" x14ac:dyDescent="0.3">
      <c r="A1463" s="12"/>
      <c r="B1463" s="2"/>
      <c r="C1463" s="2"/>
      <c r="D1463" s="2"/>
      <c r="E1463" s="2"/>
      <c r="F1463" s="2"/>
    </row>
    <row r="1464" spans="1:6" x14ac:dyDescent="0.3">
      <c r="A1464" s="12"/>
      <c r="B1464" s="2"/>
      <c r="C1464" s="2"/>
      <c r="D1464" s="2"/>
      <c r="E1464" s="2"/>
      <c r="F1464" s="2"/>
    </row>
    <row r="1465" spans="1:6" x14ac:dyDescent="0.3">
      <c r="A1465" s="12"/>
      <c r="B1465" s="2"/>
      <c r="C1465" s="2"/>
      <c r="D1465" s="2"/>
      <c r="E1465" s="2"/>
      <c r="F1465" s="2"/>
    </row>
    <row r="1466" spans="1:6" x14ac:dyDescent="0.3">
      <c r="A1466" s="12"/>
      <c r="B1466" s="2"/>
      <c r="C1466" s="2"/>
      <c r="D1466" s="2"/>
      <c r="E1466" s="2"/>
      <c r="F1466" s="2"/>
    </row>
    <row r="1467" spans="1:6" x14ac:dyDescent="0.3">
      <c r="A1467" s="12"/>
      <c r="B1467" s="2"/>
      <c r="C1467" s="2"/>
      <c r="D1467" s="2"/>
      <c r="E1467" s="2"/>
      <c r="F1467" s="2"/>
    </row>
    <row r="1468" spans="1:6" x14ac:dyDescent="0.3">
      <c r="A1468" s="12"/>
      <c r="B1468" s="2"/>
      <c r="C1468" s="2"/>
      <c r="D1468" s="2"/>
      <c r="E1468" s="2"/>
      <c r="F1468" s="2"/>
    </row>
    <row r="1469" spans="1:6" x14ac:dyDescent="0.3">
      <c r="A1469" s="12"/>
      <c r="B1469" s="2"/>
      <c r="C1469" s="2"/>
      <c r="D1469" s="2"/>
      <c r="E1469" s="2"/>
      <c r="F1469" s="2"/>
    </row>
    <row r="1470" spans="1:6" x14ac:dyDescent="0.3">
      <c r="A1470" s="12"/>
      <c r="B1470" s="2"/>
      <c r="C1470" s="2"/>
      <c r="D1470" s="2"/>
      <c r="E1470" s="2"/>
      <c r="F1470" s="2"/>
    </row>
    <row r="1471" spans="1:6" x14ac:dyDescent="0.3">
      <c r="A1471" s="12"/>
      <c r="B1471" s="2"/>
      <c r="C1471" s="2"/>
      <c r="D1471" s="2"/>
      <c r="E1471" s="2"/>
      <c r="F1471" s="2"/>
    </row>
    <row r="1472" spans="1:6" x14ac:dyDescent="0.3">
      <c r="A1472" s="12"/>
      <c r="B1472" s="2"/>
      <c r="C1472" s="2"/>
      <c r="D1472" s="2"/>
      <c r="E1472" s="2"/>
      <c r="F1472" s="2"/>
    </row>
    <row r="1473" spans="1:6" x14ac:dyDescent="0.3">
      <c r="A1473" s="12"/>
      <c r="B1473" s="2"/>
      <c r="C1473" s="2"/>
      <c r="D1473" s="2"/>
      <c r="E1473" s="2"/>
      <c r="F1473" s="2"/>
    </row>
    <row r="1474" spans="1:6" x14ac:dyDescent="0.3">
      <c r="A1474" s="12"/>
      <c r="B1474" s="2"/>
      <c r="C1474" s="2"/>
      <c r="D1474" s="2"/>
      <c r="E1474" s="2"/>
      <c r="F1474" s="2"/>
    </row>
    <row r="1475" spans="1:6" x14ac:dyDescent="0.3">
      <c r="A1475" s="12"/>
      <c r="B1475" s="2"/>
      <c r="C1475" s="2"/>
      <c r="D1475" s="2"/>
      <c r="E1475" s="2"/>
      <c r="F1475" s="2"/>
    </row>
    <row r="1476" spans="1:6" x14ac:dyDescent="0.3">
      <c r="A1476" s="12"/>
      <c r="B1476" s="2"/>
      <c r="C1476" s="2"/>
      <c r="D1476" s="2"/>
      <c r="E1476" s="2"/>
      <c r="F1476" s="2"/>
    </row>
    <row r="1477" spans="1:6" x14ac:dyDescent="0.3">
      <c r="A1477" s="12"/>
      <c r="B1477" s="2"/>
      <c r="C1477" s="2"/>
      <c r="D1477" s="2"/>
      <c r="E1477" s="2"/>
      <c r="F1477" s="2"/>
    </row>
    <row r="1478" spans="1:6" x14ac:dyDescent="0.3">
      <c r="A1478" s="12"/>
      <c r="B1478" s="2"/>
      <c r="C1478" s="2"/>
      <c r="D1478" s="2"/>
      <c r="E1478" s="2"/>
      <c r="F1478" s="2"/>
    </row>
    <row r="1479" spans="1:6" x14ac:dyDescent="0.3">
      <c r="A1479" s="12"/>
      <c r="B1479" s="2"/>
      <c r="C1479" s="2"/>
      <c r="D1479" s="2"/>
      <c r="E1479" s="2"/>
      <c r="F1479" s="2"/>
    </row>
    <row r="1480" spans="1:6" x14ac:dyDescent="0.3">
      <c r="A1480" s="12"/>
      <c r="B1480" s="2"/>
      <c r="C1480" s="2"/>
      <c r="D1480" s="2"/>
      <c r="E1480" s="2"/>
      <c r="F1480" s="2"/>
    </row>
    <row r="1481" spans="1:6" x14ac:dyDescent="0.3">
      <c r="A1481" s="12"/>
      <c r="B1481" s="2"/>
      <c r="C1481" s="2"/>
      <c r="D1481" s="2"/>
      <c r="E1481" s="2"/>
      <c r="F1481" s="2"/>
    </row>
    <row r="1482" spans="1:6" x14ac:dyDescent="0.3">
      <c r="A1482" s="12"/>
      <c r="B1482" s="2"/>
      <c r="C1482" s="2"/>
      <c r="D1482" s="2"/>
      <c r="E1482" s="2"/>
      <c r="F1482" s="2"/>
    </row>
    <row r="1483" spans="1:6" x14ac:dyDescent="0.3">
      <c r="A1483" s="12"/>
      <c r="B1483" s="2"/>
      <c r="C1483" s="2"/>
      <c r="D1483" s="2"/>
      <c r="E1483" s="2"/>
      <c r="F1483" s="2"/>
    </row>
    <row r="1484" spans="1:6" x14ac:dyDescent="0.3">
      <c r="A1484" s="12"/>
      <c r="B1484" s="2"/>
      <c r="C1484" s="2"/>
      <c r="D1484" s="2"/>
      <c r="E1484" s="2"/>
      <c r="F1484" s="2"/>
    </row>
    <row r="1485" spans="1:6" x14ac:dyDescent="0.3">
      <c r="A1485" s="12"/>
      <c r="B1485" s="2"/>
      <c r="C1485" s="2"/>
      <c r="D1485" s="2"/>
      <c r="E1485" s="2"/>
      <c r="F1485" s="2"/>
    </row>
    <row r="1486" spans="1:6" x14ac:dyDescent="0.3">
      <c r="A1486" s="12"/>
      <c r="B1486" s="2"/>
      <c r="C1486" s="2"/>
      <c r="D1486" s="2"/>
      <c r="E1486" s="2"/>
      <c r="F1486" s="2"/>
    </row>
    <row r="1487" spans="1:6" x14ac:dyDescent="0.3">
      <c r="A1487" s="12"/>
      <c r="B1487" s="2"/>
      <c r="C1487" s="2"/>
      <c r="D1487" s="2"/>
      <c r="E1487" s="2"/>
      <c r="F1487" s="2"/>
    </row>
    <row r="1488" spans="1:6" x14ac:dyDescent="0.3">
      <c r="A1488" s="12"/>
      <c r="B1488" s="2"/>
      <c r="C1488" s="2"/>
      <c r="D1488" s="2"/>
      <c r="E1488" s="2"/>
      <c r="F1488" s="2"/>
    </row>
    <row r="1489" spans="1:6" x14ac:dyDescent="0.3">
      <c r="A1489" s="12"/>
      <c r="B1489" s="2"/>
      <c r="C1489" s="2"/>
      <c r="D1489" s="2"/>
      <c r="E1489" s="2"/>
      <c r="F1489" s="2"/>
    </row>
    <row r="1490" spans="1:6" x14ac:dyDescent="0.3">
      <c r="A1490" s="12"/>
      <c r="B1490" s="2"/>
      <c r="C1490" s="2"/>
      <c r="D1490" s="2"/>
      <c r="E1490" s="2"/>
      <c r="F1490" s="2"/>
    </row>
    <row r="1491" spans="1:6" x14ac:dyDescent="0.3">
      <c r="A1491" s="12"/>
      <c r="B1491" s="2"/>
      <c r="C1491" s="2"/>
      <c r="D1491" s="2"/>
      <c r="E1491" s="2"/>
      <c r="F1491" s="2"/>
    </row>
    <row r="1492" spans="1:6" x14ac:dyDescent="0.3">
      <c r="A1492" s="12"/>
      <c r="B1492" s="2"/>
      <c r="C1492" s="2"/>
      <c r="D1492" s="2"/>
      <c r="E1492" s="2"/>
      <c r="F1492" s="2"/>
    </row>
    <row r="1493" spans="1:6" x14ac:dyDescent="0.3">
      <c r="A1493" s="12"/>
      <c r="B1493" s="2"/>
      <c r="C1493" s="2"/>
      <c r="D1493" s="2"/>
      <c r="E1493" s="2"/>
      <c r="F1493" s="2"/>
    </row>
    <row r="1494" spans="1:6" x14ac:dyDescent="0.3">
      <c r="A1494" s="12"/>
      <c r="B1494" s="2"/>
      <c r="C1494" s="2"/>
      <c r="D1494" s="2"/>
      <c r="E1494" s="2"/>
      <c r="F1494" s="2"/>
    </row>
    <row r="1495" spans="1:6" x14ac:dyDescent="0.3">
      <c r="A1495" s="12"/>
      <c r="B1495" s="2"/>
      <c r="C1495" s="2"/>
      <c r="D1495" s="2"/>
      <c r="E1495" s="2"/>
      <c r="F1495" s="2"/>
    </row>
    <row r="1496" spans="1:6" x14ac:dyDescent="0.3">
      <c r="A1496" s="12"/>
      <c r="B1496" s="2"/>
      <c r="C1496" s="2"/>
      <c r="D1496" s="2"/>
      <c r="E1496" s="2"/>
      <c r="F1496" s="2"/>
    </row>
    <row r="1497" spans="1:6" x14ac:dyDescent="0.3">
      <c r="A1497" s="12"/>
      <c r="B1497" s="2"/>
      <c r="C1497" s="2"/>
      <c r="D1497" s="2"/>
      <c r="E1497" s="2"/>
      <c r="F1497" s="2"/>
    </row>
    <row r="1498" spans="1:6" x14ac:dyDescent="0.3">
      <c r="A1498" s="12"/>
      <c r="B1498" s="2"/>
      <c r="C1498" s="2"/>
      <c r="D1498" s="2"/>
      <c r="E1498" s="2"/>
      <c r="F1498" s="2"/>
    </row>
    <row r="1499" spans="1:6" x14ac:dyDescent="0.3">
      <c r="A1499" s="12"/>
      <c r="B1499" s="2"/>
      <c r="C1499" s="2"/>
      <c r="D1499" s="2"/>
      <c r="E1499" s="2"/>
      <c r="F1499" s="2"/>
    </row>
    <row r="1500" spans="1:6" x14ac:dyDescent="0.3">
      <c r="A1500" s="12"/>
      <c r="B1500" s="2"/>
      <c r="C1500" s="2"/>
      <c r="D1500" s="2"/>
      <c r="E1500" s="2"/>
      <c r="F1500" s="2"/>
    </row>
    <row r="1501" spans="1:6" x14ac:dyDescent="0.3">
      <c r="A1501" s="12"/>
      <c r="B1501" s="2"/>
      <c r="C1501" s="2"/>
      <c r="D1501" s="2"/>
      <c r="E1501" s="2"/>
      <c r="F1501" s="2"/>
    </row>
    <row r="1502" spans="1:6" x14ac:dyDescent="0.3">
      <c r="A1502" s="12"/>
      <c r="B1502" s="2"/>
      <c r="C1502" s="2"/>
      <c r="D1502" s="2"/>
      <c r="E1502" s="2"/>
      <c r="F1502" s="2"/>
    </row>
    <row r="1503" spans="1:6" x14ac:dyDescent="0.3">
      <c r="A1503" s="12"/>
      <c r="B1503" s="2"/>
      <c r="C1503" s="2"/>
      <c r="D1503" s="2"/>
      <c r="E1503" s="2"/>
      <c r="F1503" s="2"/>
    </row>
    <row r="1504" spans="1:6" x14ac:dyDescent="0.3">
      <c r="A1504" s="12"/>
      <c r="B1504" s="2"/>
      <c r="C1504" s="2"/>
      <c r="D1504" s="2"/>
      <c r="E1504" s="2"/>
      <c r="F1504" s="2"/>
    </row>
    <row r="1505" spans="1:6" x14ac:dyDescent="0.3">
      <c r="A1505" s="12"/>
      <c r="B1505" s="2"/>
      <c r="C1505" s="2"/>
      <c r="D1505" s="2"/>
      <c r="E1505" s="2"/>
      <c r="F1505" s="2"/>
    </row>
    <row r="1506" spans="1:6" x14ac:dyDescent="0.3">
      <c r="A1506" s="12"/>
      <c r="B1506" s="2"/>
      <c r="C1506" s="2"/>
      <c r="D1506" s="2"/>
      <c r="E1506" s="2"/>
      <c r="F1506" s="2"/>
    </row>
    <row r="1507" spans="1:6" x14ac:dyDescent="0.3">
      <c r="A1507" s="12"/>
      <c r="B1507" s="2"/>
      <c r="C1507" s="2"/>
      <c r="D1507" s="2"/>
      <c r="E1507" s="2"/>
      <c r="F1507" s="2"/>
    </row>
    <row r="1508" spans="1:6" x14ac:dyDescent="0.3">
      <c r="A1508" s="12"/>
      <c r="B1508" s="2"/>
      <c r="C1508" s="2"/>
      <c r="D1508" s="2"/>
      <c r="E1508" s="2"/>
      <c r="F1508" s="2"/>
    </row>
    <row r="1509" spans="1:6" x14ac:dyDescent="0.3">
      <c r="A1509" s="12"/>
      <c r="B1509" s="2"/>
      <c r="C1509" s="2"/>
      <c r="D1509" s="2"/>
      <c r="E1509" s="2"/>
      <c r="F1509" s="2"/>
    </row>
    <row r="1510" spans="1:6" x14ac:dyDescent="0.3">
      <c r="A1510" s="12"/>
      <c r="B1510" s="2"/>
      <c r="C1510" s="2"/>
      <c r="D1510" s="2"/>
      <c r="E1510" s="2"/>
      <c r="F1510" s="2"/>
    </row>
    <row r="1511" spans="1:6" x14ac:dyDescent="0.3">
      <c r="A1511" s="12"/>
      <c r="B1511" s="2"/>
      <c r="C1511" s="2"/>
      <c r="D1511" s="2"/>
      <c r="E1511" s="2"/>
      <c r="F1511" s="2"/>
    </row>
    <row r="1512" spans="1:6" x14ac:dyDescent="0.3">
      <c r="A1512" s="12"/>
      <c r="B1512" s="2"/>
      <c r="C1512" s="2"/>
      <c r="D1512" s="2"/>
      <c r="E1512" s="2"/>
      <c r="F1512" s="2"/>
    </row>
    <row r="1513" spans="1:6" x14ac:dyDescent="0.3">
      <c r="A1513" s="12"/>
      <c r="B1513" s="2"/>
      <c r="C1513" s="2"/>
      <c r="D1513" s="2"/>
      <c r="E1513" s="2"/>
      <c r="F1513" s="2"/>
    </row>
    <row r="1514" spans="1:6" x14ac:dyDescent="0.3">
      <c r="A1514" s="12"/>
      <c r="B1514" s="2"/>
      <c r="C1514" s="2"/>
      <c r="D1514" s="2"/>
      <c r="E1514" s="2"/>
      <c r="F1514" s="2"/>
    </row>
    <row r="1515" spans="1:6" x14ac:dyDescent="0.3">
      <c r="A1515" s="12"/>
      <c r="B1515" s="2"/>
      <c r="C1515" s="2"/>
      <c r="D1515" s="2"/>
      <c r="E1515" s="2"/>
      <c r="F1515" s="2"/>
    </row>
    <row r="1516" spans="1:6" x14ac:dyDescent="0.3">
      <c r="A1516" s="12"/>
      <c r="B1516" s="2"/>
      <c r="C1516" s="2"/>
      <c r="D1516" s="2"/>
      <c r="E1516" s="2"/>
      <c r="F1516" s="2"/>
    </row>
    <row r="1517" spans="1:6" x14ac:dyDescent="0.3">
      <c r="A1517" s="12"/>
      <c r="B1517" s="2"/>
      <c r="C1517" s="2"/>
      <c r="D1517" s="2"/>
      <c r="E1517" s="2"/>
      <c r="F1517" s="2"/>
    </row>
    <row r="1518" spans="1:6" x14ac:dyDescent="0.3">
      <c r="A1518" s="12"/>
      <c r="B1518" s="2"/>
      <c r="C1518" s="2"/>
      <c r="D1518" s="2"/>
      <c r="E1518" s="2"/>
      <c r="F1518" s="2"/>
    </row>
    <row r="1519" spans="1:6" x14ac:dyDescent="0.3">
      <c r="A1519" s="12"/>
      <c r="B1519" s="2"/>
      <c r="C1519" s="2"/>
      <c r="D1519" s="2"/>
      <c r="E1519" s="2"/>
      <c r="F1519" s="2"/>
    </row>
    <row r="1520" spans="1:6" x14ac:dyDescent="0.3">
      <c r="A1520" s="12"/>
      <c r="B1520" s="2"/>
      <c r="C1520" s="2"/>
      <c r="D1520" s="2"/>
      <c r="E1520" s="2"/>
      <c r="F1520" s="2"/>
    </row>
    <row r="1521" spans="1:6" x14ac:dyDescent="0.3">
      <c r="A1521" s="12"/>
      <c r="B1521" s="2"/>
      <c r="C1521" s="2"/>
      <c r="D1521" s="2"/>
      <c r="E1521" s="2"/>
      <c r="F1521" s="2"/>
    </row>
    <row r="1522" spans="1:6" x14ac:dyDescent="0.3">
      <c r="A1522" s="12"/>
      <c r="B1522" s="2"/>
      <c r="C1522" s="2"/>
      <c r="D1522" s="2"/>
      <c r="E1522" s="2"/>
      <c r="F1522" s="2"/>
    </row>
    <row r="1523" spans="1:6" x14ac:dyDescent="0.3">
      <c r="A1523" s="12"/>
      <c r="B1523" s="2"/>
      <c r="C1523" s="2"/>
      <c r="D1523" s="2"/>
      <c r="E1523" s="2"/>
      <c r="F1523" s="2"/>
    </row>
    <row r="1524" spans="1:6" x14ac:dyDescent="0.3">
      <c r="A1524" s="12"/>
      <c r="B1524" s="2"/>
      <c r="C1524" s="2"/>
      <c r="D1524" s="2"/>
      <c r="E1524" s="2"/>
      <c r="F1524" s="2"/>
    </row>
    <row r="1525" spans="1:6" x14ac:dyDescent="0.3">
      <c r="A1525" s="12"/>
      <c r="B1525" s="2"/>
      <c r="C1525" s="2"/>
      <c r="D1525" s="2"/>
      <c r="E1525" s="2"/>
      <c r="F1525" s="2"/>
    </row>
    <row r="1526" spans="1:6" x14ac:dyDescent="0.3">
      <c r="A1526" s="12"/>
      <c r="B1526" s="2"/>
      <c r="C1526" s="2"/>
      <c r="D1526" s="2"/>
      <c r="E1526" s="2"/>
      <c r="F1526" s="2"/>
    </row>
    <row r="1527" spans="1:6" x14ac:dyDescent="0.3">
      <c r="A1527" s="12"/>
      <c r="B1527" s="2"/>
      <c r="C1527" s="2"/>
      <c r="D1527" s="2"/>
      <c r="E1527" s="2"/>
      <c r="F1527" s="2"/>
    </row>
    <row r="1528" spans="1:6" x14ac:dyDescent="0.3">
      <c r="A1528" s="12"/>
      <c r="B1528" s="2"/>
      <c r="C1528" s="2"/>
      <c r="D1528" s="2"/>
      <c r="E1528" s="2"/>
      <c r="F1528" s="2"/>
    </row>
    <row r="1529" spans="1:6" x14ac:dyDescent="0.3">
      <c r="A1529" s="12"/>
      <c r="B1529" s="2"/>
      <c r="C1529" s="2"/>
      <c r="D1529" s="2"/>
      <c r="E1529" s="2"/>
      <c r="F1529" s="2"/>
    </row>
    <row r="1530" spans="1:6" x14ac:dyDescent="0.3">
      <c r="A1530" s="12"/>
      <c r="B1530" s="2"/>
      <c r="C1530" s="2"/>
      <c r="D1530" s="2"/>
      <c r="E1530" s="2"/>
      <c r="F1530" s="2"/>
    </row>
    <row r="1531" spans="1:6" x14ac:dyDescent="0.3">
      <c r="A1531" s="12"/>
      <c r="B1531" s="2"/>
      <c r="C1531" s="2"/>
      <c r="D1531" s="2"/>
      <c r="E1531" s="2"/>
      <c r="F1531" s="2"/>
    </row>
    <row r="1532" spans="1:6" x14ac:dyDescent="0.3">
      <c r="A1532" s="12"/>
      <c r="B1532" s="2"/>
      <c r="C1532" s="2"/>
      <c r="D1532" s="2"/>
      <c r="E1532" s="2"/>
      <c r="F1532" s="2"/>
    </row>
    <row r="1533" spans="1:6" x14ac:dyDescent="0.3">
      <c r="A1533" s="12"/>
      <c r="B1533" s="2"/>
      <c r="C1533" s="2"/>
      <c r="D1533" s="2"/>
      <c r="E1533" s="2"/>
      <c r="F1533" s="2"/>
    </row>
    <row r="1534" spans="1:6" x14ac:dyDescent="0.3">
      <c r="A1534" s="12"/>
      <c r="B1534" s="2"/>
      <c r="C1534" s="2"/>
      <c r="D1534" s="2"/>
      <c r="E1534" s="2"/>
      <c r="F1534" s="2"/>
    </row>
    <row r="1535" spans="1:6" x14ac:dyDescent="0.3">
      <c r="A1535" s="12"/>
      <c r="B1535" s="2"/>
      <c r="C1535" s="2"/>
      <c r="D1535" s="2"/>
      <c r="E1535" s="2"/>
      <c r="F1535" s="2"/>
    </row>
    <row r="1536" spans="1:6" x14ac:dyDescent="0.3">
      <c r="A1536" s="12"/>
      <c r="B1536" s="2"/>
      <c r="C1536" s="2"/>
      <c r="D1536" s="2"/>
      <c r="E1536" s="2"/>
      <c r="F1536" s="2"/>
    </row>
    <row r="1537" spans="1:6" x14ac:dyDescent="0.3">
      <c r="A1537" s="12"/>
      <c r="B1537" s="2"/>
      <c r="C1537" s="2"/>
      <c r="D1537" s="2"/>
      <c r="E1537" s="2"/>
      <c r="F1537" s="2"/>
    </row>
    <row r="1538" spans="1:6" x14ac:dyDescent="0.3">
      <c r="A1538" s="12"/>
      <c r="B1538" s="2"/>
      <c r="C1538" s="2"/>
      <c r="D1538" s="2"/>
      <c r="E1538" s="2"/>
      <c r="F1538" s="2"/>
    </row>
    <row r="1539" spans="1:6" x14ac:dyDescent="0.3">
      <c r="A1539" s="12"/>
      <c r="B1539" s="2"/>
      <c r="C1539" s="2"/>
      <c r="D1539" s="2"/>
      <c r="E1539" s="2"/>
      <c r="F1539" s="2"/>
    </row>
    <row r="1540" spans="1:6" x14ac:dyDescent="0.3">
      <c r="A1540" s="12"/>
      <c r="B1540" s="2"/>
      <c r="C1540" s="2"/>
      <c r="D1540" s="2"/>
      <c r="E1540" s="2"/>
      <c r="F1540" s="2"/>
    </row>
    <row r="1541" spans="1:6" x14ac:dyDescent="0.3">
      <c r="A1541" s="12"/>
      <c r="B1541" s="2"/>
      <c r="C1541" s="2"/>
      <c r="D1541" s="2"/>
      <c r="E1541" s="2"/>
      <c r="F1541" s="2"/>
    </row>
    <row r="1542" spans="1:6" x14ac:dyDescent="0.3">
      <c r="A1542" s="12"/>
      <c r="B1542" s="2"/>
      <c r="C1542" s="2"/>
      <c r="D1542" s="2"/>
      <c r="E1542" s="2"/>
      <c r="F1542" s="2"/>
    </row>
    <row r="1543" spans="1:6" x14ac:dyDescent="0.3">
      <c r="A1543" s="12"/>
      <c r="B1543" s="2"/>
      <c r="C1543" s="2"/>
      <c r="D1543" s="2"/>
      <c r="E1543" s="2"/>
      <c r="F1543" s="2"/>
    </row>
    <row r="1544" spans="1:6" x14ac:dyDescent="0.3">
      <c r="A1544" s="12"/>
      <c r="B1544" s="2"/>
      <c r="C1544" s="2"/>
      <c r="D1544" s="2"/>
      <c r="E1544" s="2"/>
      <c r="F1544" s="2"/>
    </row>
    <row r="1545" spans="1:6" x14ac:dyDescent="0.3">
      <c r="A1545" s="12"/>
      <c r="B1545" s="2"/>
      <c r="C1545" s="2"/>
      <c r="D1545" s="2"/>
      <c r="E1545" s="2"/>
      <c r="F1545" s="2"/>
    </row>
    <row r="1546" spans="1:6" x14ac:dyDescent="0.3">
      <c r="A1546" s="12"/>
      <c r="B1546" s="2"/>
      <c r="C1546" s="2"/>
      <c r="D1546" s="2"/>
      <c r="E1546" s="2"/>
      <c r="F1546" s="2"/>
    </row>
    <row r="1547" spans="1:6" x14ac:dyDescent="0.3">
      <c r="A1547" s="12"/>
      <c r="B1547" s="2"/>
      <c r="C1547" s="2"/>
      <c r="D1547" s="2"/>
      <c r="E1547" s="2"/>
      <c r="F1547" s="2"/>
    </row>
    <row r="1548" spans="1:6" x14ac:dyDescent="0.3">
      <c r="A1548" s="12"/>
      <c r="B1548" s="2"/>
      <c r="C1548" s="2"/>
      <c r="D1548" s="2"/>
      <c r="E1548" s="2"/>
      <c r="F1548" s="2"/>
    </row>
    <row r="1549" spans="1:6" x14ac:dyDescent="0.3">
      <c r="A1549" s="12"/>
      <c r="B1549" s="2"/>
      <c r="C1549" s="2"/>
      <c r="D1549" s="2"/>
      <c r="E1549" s="2"/>
      <c r="F1549" s="2"/>
    </row>
    <row r="1550" spans="1:6" x14ac:dyDescent="0.3">
      <c r="A1550" s="12"/>
      <c r="B1550" s="2"/>
      <c r="C1550" s="2"/>
      <c r="D1550" s="2"/>
      <c r="E1550" s="2"/>
      <c r="F1550" s="2"/>
    </row>
    <row r="1551" spans="1:6" x14ac:dyDescent="0.3">
      <c r="A1551" s="12"/>
      <c r="B1551" s="2"/>
      <c r="C1551" s="2"/>
      <c r="D1551" s="2"/>
      <c r="E1551" s="2"/>
      <c r="F1551" s="2"/>
    </row>
    <row r="1552" spans="1:6" x14ac:dyDescent="0.3">
      <c r="A1552" s="12"/>
      <c r="B1552" s="2"/>
      <c r="C1552" s="2"/>
      <c r="D1552" s="2"/>
      <c r="E1552" s="2"/>
      <c r="F1552" s="2"/>
    </row>
    <row r="1553" spans="1:6" x14ac:dyDescent="0.3">
      <c r="A1553" s="12"/>
      <c r="B1553" s="2"/>
      <c r="C1553" s="2"/>
      <c r="D1553" s="2"/>
      <c r="E1553" s="2"/>
      <c r="F1553" s="2"/>
    </row>
    <row r="1554" spans="1:6" x14ac:dyDescent="0.3">
      <c r="A1554" s="12"/>
      <c r="B1554" s="2"/>
      <c r="C1554" s="2"/>
      <c r="D1554" s="2"/>
      <c r="E1554" s="2"/>
      <c r="F1554" s="2"/>
    </row>
    <row r="1555" spans="1:6" x14ac:dyDescent="0.3">
      <c r="A1555" s="12"/>
      <c r="B1555" s="2"/>
      <c r="C1555" s="2"/>
      <c r="D1555" s="2"/>
      <c r="E1555" s="2"/>
      <c r="F1555" s="2"/>
    </row>
    <row r="1556" spans="1:6" x14ac:dyDescent="0.3">
      <c r="A1556" s="12"/>
      <c r="B1556" s="2"/>
      <c r="C1556" s="2"/>
      <c r="D1556" s="2"/>
      <c r="E1556" s="2"/>
      <c r="F1556" s="2"/>
    </row>
    <row r="1557" spans="1:6" x14ac:dyDescent="0.3">
      <c r="A1557" s="12"/>
      <c r="B1557" s="2"/>
      <c r="C1557" s="2"/>
      <c r="D1557" s="2"/>
      <c r="E1557" s="2"/>
      <c r="F1557" s="2"/>
    </row>
    <row r="1558" spans="1:6" x14ac:dyDescent="0.3">
      <c r="A1558" s="12"/>
      <c r="B1558" s="2"/>
      <c r="C1558" s="2"/>
      <c r="D1558" s="2"/>
      <c r="E1558" s="2"/>
      <c r="F1558" s="2"/>
    </row>
    <row r="1559" spans="1:6" x14ac:dyDescent="0.3">
      <c r="A1559" s="12"/>
      <c r="B1559" s="2"/>
      <c r="C1559" s="2"/>
      <c r="D1559" s="2"/>
      <c r="E1559" s="2"/>
      <c r="F1559" s="2"/>
    </row>
    <row r="1560" spans="1:6" x14ac:dyDescent="0.3">
      <c r="A1560" s="12"/>
      <c r="B1560" s="2"/>
      <c r="C1560" s="2"/>
      <c r="D1560" s="2"/>
      <c r="E1560" s="2"/>
      <c r="F1560" s="2"/>
    </row>
    <row r="1561" spans="1:6" x14ac:dyDescent="0.3">
      <c r="A1561" s="12"/>
      <c r="B1561" s="2"/>
      <c r="C1561" s="2"/>
      <c r="D1561" s="2"/>
      <c r="E1561" s="2"/>
      <c r="F1561" s="2"/>
    </row>
    <row r="1562" spans="1:6" x14ac:dyDescent="0.3">
      <c r="A1562" s="12"/>
      <c r="B1562" s="2"/>
      <c r="C1562" s="2"/>
      <c r="D1562" s="2"/>
      <c r="E1562" s="2"/>
      <c r="F1562" s="2"/>
    </row>
    <row r="1563" spans="1:6" x14ac:dyDescent="0.3">
      <c r="A1563" s="12"/>
      <c r="B1563" s="2"/>
      <c r="C1563" s="2"/>
      <c r="D1563" s="2"/>
      <c r="E1563" s="2"/>
      <c r="F1563" s="2"/>
    </row>
    <row r="1564" spans="1:6" x14ac:dyDescent="0.3">
      <c r="A1564" s="12"/>
      <c r="B1564" s="2"/>
      <c r="C1564" s="2"/>
      <c r="D1564" s="2"/>
      <c r="E1564" s="2"/>
      <c r="F1564" s="2"/>
    </row>
    <row r="1565" spans="1:6" x14ac:dyDescent="0.3">
      <c r="A1565" s="12"/>
      <c r="B1565" s="2"/>
      <c r="C1565" s="2"/>
      <c r="D1565" s="2"/>
      <c r="E1565" s="2"/>
      <c r="F1565" s="2"/>
    </row>
    <row r="1566" spans="1:6" x14ac:dyDescent="0.3">
      <c r="A1566" s="12"/>
      <c r="B1566" s="2"/>
      <c r="C1566" s="2"/>
      <c r="D1566" s="2"/>
      <c r="E1566" s="2"/>
      <c r="F1566" s="2"/>
    </row>
    <row r="1567" spans="1:6" x14ac:dyDescent="0.3">
      <c r="A1567" s="12"/>
      <c r="B1567" s="2"/>
      <c r="C1567" s="2"/>
      <c r="D1567" s="2"/>
      <c r="E1567" s="2"/>
      <c r="F1567" s="2"/>
    </row>
    <row r="1568" spans="1:6" x14ac:dyDescent="0.3">
      <c r="A1568" s="12"/>
      <c r="B1568" s="2"/>
      <c r="C1568" s="2"/>
      <c r="D1568" s="2"/>
      <c r="E1568" s="2"/>
      <c r="F1568" s="2"/>
    </row>
    <row r="1569" spans="1:6" x14ac:dyDescent="0.3">
      <c r="A1569" s="12"/>
      <c r="B1569" s="2"/>
      <c r="C1569" s="2"/>
      <c r="D1569" s="2"/>
      <c r="E1569" s="2"/>
      <c r="F1569" s="2"/>
    </row>
    <row r="1570" spans="1:6" x14ac:dyDescent="0.3">
      <c r="A1570" s="12"/>
      <c r="B1570" s="2"/>
      <c r="C1570" s="2"/>
      <c r="D1570" s="2"/>
      <c r="E1570" s="2"/>
      <c r="F1570" s="2"/>
    </row>
    <row r="1571" spans="1:6" x14ac:dyDescent="0.3">
      <c r="A1571" s="12"/>
      <c r="B1571" s="2"/>
      <c r="C1571" s="2"/>
      <c r="D1571" s="2"/>
      <c r="E1571" s="2"/>
      <c r="F1571" s="2"/>
    </row>
    <row r="1572" spans="1:6" x14ac:dyDescent="0.3">
      <c r="A1572" s="12"/>
      <c r="B1572" s="2"/>
      <c r="C1572" s="2"/>
      <c r="D1572" s="2"/>
      <c r="E1572" s="2"/>
      <c r="F1572" s="2"/>
    </row>
    <row r="1573" spans="1:6" x14ac:dyDescent="0.3">
      <c r="A1573" s="12"/>
      <c r="B1573" s="2"/>
      <c r="C1573" s="2"/>
      <c r="D1573" s="2"/>
      <c r="E1573" s="2"/>
      <c r="F1573" s="2"/>
    </row>
    <row r="1574" spans="1:6" x14ac:dyDescent="0.3">
      <c r="A1574" s="12"/>
      <c r="B1574" s="2"/>
      <c r="C1574" s="2"/>
      <c r="D1574" s="2"/>
      <c r="E1574" s="2"/>
      <c r="F1574" s="2"/>
    </row>
    <row r="1575" spans="1:6" x14ac:dyDescent="0.3">
      <c r="A1575" s="12"/>
      <c r="B1575" s="2"/>
      <c r="C1575" s="2"/>
      <c r="D1575" s="2"/>
      <c r="E1575" s="2"/>
      <c r="F1575" s="2"/>
    </row>
    <row r="1576" spans="1:6" x14ac:dyDescent="0.3">
      <c r="A1576" s="12"/>
      <c r="B1576" s="2"/>
      <c r="C1576" s="2"/>
      <c r="D1576" s="2"/>
      <c r="E1576" s="2"/>
      <c r="F1576" s="2"/>
    </row>
    <row r="1577" spans="1:6" x14ac:dyDescent="0.3">
      <c r="A1577" s="12"/>
      <c r="B1577" s="2"/>
      <c r="C1577" s="2"/>
      <c r="D1577" s="2"/>
      <c r="E1577" s="2"/>
      <c r="F1577" s="2"/>
    </row>
    <row r="1578" spans="1:6" x14ac:dyDescent="0.3">
      <c r="A1578" s="12"/>
      <c r="B1578" s="2"/>
      <c r="C1578" s="2"/>
      <c r="D1578" s="2"/>
      <c r="E1578" s="2"/>
      <c r="F1578" s="2"/>
    </row>
    <row r="1579" spans="1:6" x14ac:dyDescent="0.3">
      <c r="A1579" s="12"/>
      <c r="B1579" s="2"/>
      <c r="C1579" s="2"/>
      <c r="D1579" s="2"/>
      <c r="E1579" s="2"/>
      <c r="F1579" s="2"/>
    </row>
    <row r="1580" spans="1:6" x14ac:dyDescent="0.3">
      <c r="A1580" s="12"/>
      <c r="B1580" s="2"/>
      <c r="C1580" s="2"/>
      <c r="D1580" s="2"/>
      <c r="E1580" s="2"/>
      <c r="F1580" s="2"/>
    </row>
    <row r="1581" spans="1:6" x14ac:dyDescent="0.3">
      <c r="A1581" s="12"/>
      <c r="B1581" s="2"/>
      <c r="C1581" s="2"/>
      <c r="D1581" s="2"/>
      <c r="E1581" s="2"/>
      <c r="F1581" s="2"/>
    </row>
    <row r="1582" spans="1:6" x14ac:dyDescent="0.3">
      <c r="A1582" s="12"/>
      <c r="B1582" s="2"/>
      <c r="C1582" s="2"/>
      <c r="D1582" s="2"/>
      <c r="E1582" s="2"/>
      <c r="F1582" s="2"/>
    </row>
    <row r="1583" spans="1:6" x14ac:dyDescent="0.3">
      <c r="A1583" s="12"/>
      <c r="B1583" s="2"/>
      <c r="C1583" s="2"/>
      <c r="D1583" s="2"/>
      <c r="E1583" s="2"/>
      <c r="F1583" s="2"/>
    </row>
    <row r="1584" spans="1:6" x14ac:dyDescent="0.3">
      <c r="A1584" s="12"/>
      <c r="B1584" s="2"/>
      <c r="C1584" s="2"/>
      <c r="D1584" s="2"/>
      <c r="E1584" s="2"/>
      <c r="F1584" s="2"/>
    </row>
    <row r="1585" spans="1:6" x14ac:dyDescent="0.3">
      <c r="A1585" s="12"/>
      <c r="B1585" s="2"/>
      <c r="C1585" s="2"/>
      <c r="D1585" s="2"/>
      <c r="E1585" s="2"/>
      <c r="F1585" s="2"/>
    </row>
    <row r="1586" spans="1:6" x14ac:dyDescent="0.3">
      <c r="A1586" s="12"/>
      <c r="B1586" s="2"/>
      <c r="C1586" s="2"/>
      <c r="D1586" s="2"/>
      <c r="E1586" s="2"/>
      <c r="F1586" s="2"/>
    </row>
    <row r="1587" spans="1:6" x14ac:dyDescent="0.3">
      <c r="A1587" s="12"/>
      <c r="B1587" s="2"/>
      <c r="C1587" s="2"/>
      <c r="D1587" s="2"/>
      <c r="E1587" s="2"/>
      <c r="F1587" s="2"/>
    </row>
    <row r="1588" spans="1:6" x14ac:dyDescent="0.3">
      <c r="A1588" s="12"/>
      <c r="B1588" s="2"/>
      <c r="C1588" s="2"/>
      <c r="D1588" s="2"/>
      <c r="E1588" s="2"/>
      <c r="F1588" s="2"/>
    </row>
    <row r="1589" spans="1:6" x14ac:dyDescent="0.3">
      <c r="A1589" s="12"/>
      <c r="B1589" s="2"/>
      <c r="C1589" s="2"/>
      <c r="D1589" s="2"/>
      <c r="E1589" s="2"/>
      <c r="F1589" s="2"/>
    </row>
    <row r="1590" spans="1:6" x14ac:dyDescent="0.3">
      <c r="A1590" s="12"/>
      <c r="B1590" s="2"/>
      <c r="C1590" s="2"/>
      <c r="D1590" s="2"/>
      <c r="E1590" s="2"/>
      <c r="F1590" s="2"/>
    </row>
    <row r="1591" spans="1:6" x14ac:dyDescent="0.3">
      <c r="A1591" s="12"/>
      <c r="B1591" s="2"/>
      <c r="C1591" s="2"/>
      <c r="D1591" s="2"/>
      <c r="E1591" s="2"/>
      <c r="F1591" s="2"/>
    </row>
    <row r="1592" spans="1:6" x14ac:dyDescent="0.3">
      <c r="A1592" s="12"/>
      <c r="B1592" s="2"/>
      <c r="C1592" s="2"/>
      <c r="D1592" s="2"/>
      <c r="E1592" s="2"/>
      <c r="F1592" s="2"/>
    </row>
    <row r="1593" spans="1:6" x14ac:dyDescent="0.3">
      <c r="A1593" s="12"/>
      <c r="B1593" s="2"/>
      <c r="C1593" s="2"/>
      <c r="D1593" s="2"/>
      <c r="E1593" s="2"/>
      <c r="F1593" s="2"/>
    </row>
    <row r="1594" spans="1:6" x14ac:dyDescent="0.3">
      <c r="A1594" s="12"/>
      <c r="B1594" s="2"/>
      <c r="C1594" s="2"/>
      <c r="D1594" s="2"/>
      <c r="E1594" s="2"/>
      <c r="F1594" s="2"/>
    </row>
    <row r="1595" spans="1:6" x14ac:dyDescent="0.3">
      <c r="A1595" s="12"/>
      <c r="B1595" s="2"/>
      <c r="C1595" s="2"/>
      <c r="D1595" s="2"/>
      <c r="E1595" s="2"/>
      <c r="F1595" s="2"/>
    </row>
    <row r="1596" spans="1:6" x14ac:dyDescent="0.3">
      <c r="A1596" s="12"/>
      <c r="B1596" s="2"/>
      <c r="C1596" s="2"/>
      <c r="D1596" s="2"/>
      <c r="E1596" s="2"/>
      <c r="F1596" s="2"/>
    </row>
    <row r="1597" spans="1:6" x14ac:dyDescent="0.3">
      <c r="A1597" s="12"/>
      <c r="B1597" s="2"/>
      <c r="C1597" s="2"/>
      <c r="D1597" s="2"/>
      <c r="E1597" s="2"/>
      <c r="F1597" s="2"/>
    </row>
    <row r="1598" spans="1:6" x14ac:dyDescent="0.3">
      <c r="A1598" s="12"/>
      <c r="B1598" s="2"/>
      <c r="C1598" s="2"/>
      <c r="D1598" s="2"/>
      <c r="E1598" s="2"/>
      <c r="F1598" s="2"/>
    </row>
    <row r="1599" spans="1:6" x14ac:dyDescent="0.3">
      <c r="A1599" s="12"/>
      <c r="B1599" s="2"/>
      <c r="C1599" s="2"/>
      <c r="D1599" s="2"/>
      <c r="E1599" s="2"/>
      <c r="F1599" s="2"/>
    </row>
    <row r="1600" spans="1:6" x14ac:dyDescent="0.3">
      <c r="A1600" s="12"/>
      <c r="B1600" s="2"/>
      <c r="C1600" s="2"/>
      <c r="D1600" s="2"/>
      <c r="E1600" s="2"/>
      <c r="F1600" s="2"/>
    </row>
    <row r="1601" spans="1:6" x14ac:dyDescent="0.3">
      <c r="A1601" s="12"/>
      <c r="B1601" s="2"/>
      <c r="C1601" s="2"/>
      <c r="D1601" s="2"/>
      <c r="E1601" s="2"/>
      <c r="F1601" s="2"/>
    </row>
    <row r="1602" spans="1:6" x14ac:dyDescent="0.3">
      <c r="A1602" s="12"/>
      <c r="B1602" s="2"/>
      <c r="C1602" s="2"/>
      <c r="D1602" s="2"/>
      <c r="E1602" s="2"/>
      <c r="F1602" s="2"/>
    </row>
    <row r="1603" spans="1:6" x14ac:dyDescent="0.3">
      <c r="A1603" s="12"/>
      <c r="B1603" s="2"/>
      <c r="C1603" s="2"/>
      <c r="D1603" s="2"/>
      <c r="E1603" s="2"/>
      <c r="F1603" s="2"/>
    </row>
    <row r="1604" spans="1:6" x14ac:dyDescent="0.3">
      <c r="A1604" s="12"/>
      <c r="B1604" s="2"/>
      <c r="C1604" s="2"/>
      <c r="D1604" s="2"/>
      <c r="E1604" s="2"/>
      <c r="F1604" s="2"/>
    </row>
    <row r="1605" spans="1:6" x14ac:dyDescent="0.3">
      <c r="A1605" s="12"/>
      <c r="B1605" s="2"/>
      <c r="C1605" s="2"/>
      <c r="D1605" s="2"/>
      <c r="E1605" s="2"/>
      <c r="F1605" s="2"/>
    </row>
    <row r="1606" spans="1:6" x14ac:dyDescent="0.3">
      <c r="A1606" s="12"/>
      <c r="B1606" s="2"/>
      <c r="C1606" s="2"/>
      <c r="D1606" s="2"/>
      <c r="E1606" s="2"/>
      <c r="F1606" s="2"/>
    </row>
    <row r="1607" spans="1:6" x14ac:dyDescent="0.3">
      <c r="A1607" s="12"/>
      <c r="B1607" s="2"/>
      <c r="C1607" s="2"/>
      <c r="D1607" s="2"/>
      <c r="E1607" s="2"/>
      <c r="F1607" s="2"/>
    </row>
    <row r="1608" spans="1:6" x14ac:dyDescent="0.3">
      <c r="A1608" s="12"/>
      <c r="B1608" s="2"/>
      <c r="C1608" s="2"/>
      <c r="D1608" s="2"/>
      <c r="E1608" s="2"/>
      <c r="F1608" s="2"/>
    </row>
    <row r="1609" spans="1:6" x14ac:dyDescent="0.3">
      <c r="A1609" s="12"/>
      <c r="B1609" s="2"/>
      <c r="C1609" s="2"/>
      <c r="D1609" s="2"/>
      <c r="E1609" s="2"/>
      <c r="F1609" s="2"/>
    </row>
    <row r="1610" spans="1:6" x14ac:dyDescent="0.3">
      <c r="A1610" s="12"/>
      <c r="B1610" s="2"/>
      <c r="C1610" s="2"/>
      <c r="D1610" s="2"/>
      <c r="E1610" s="2"/>
      <c r="F1610" s="2"/>
    </row>
    <row r="1611" spans="1:6" x14ac:dyDescent="0.3">
      <c r="A1611" s="12"/>
      <c r="B1611" s="2"/>
      <c r="C1611" s="2"/>
      <c r="D1611" s="2"/>
      <c r="E1611" s="2"/>
      <c r="F1611" s="2"/>
    </row>
    <row r="1612" spans="1:6" x14ac:dyDescent="0.3">
      <c r="A1612" s="12"/>
      <c r="B1612" s="2"/>
      <c r="C1612" s="2"/>
      <c r="D1612" s="2"/>
      <c r="E1612" s="2"/>
      <c r="F1612" s="2"/>
    </row>
    <row r="1613" spans="1:6" x14ac:dyDescent="0.3">
      <c r="A1613" s="12"/>
      <c r="B1613" s="2"/>
      <c r="C1613" s="2"/>
      <c r="D1613" s="2"/>
      <c r="E1613" s="2"/>
      <c r="F1613" s="2"/>
    </row>
    <row r="1614" spans="1:6" x14ac:dyDescent="0.3">
      <c r="A1614" s="12"/>
      <c r="B1614" s="2"/>
      <c r="C1614" s="2"/>
      <c r="D1614" s="2"/>
      <c r="E1614" s="2"/>
      <c r="F1614" s="2"/>
    </row>
    <row r="1615" spans="1:6" x14ac:dyDescent="0.3">
      <c r="A1615" s="12"/>
      <c r="B1615" s="2"/>
      <c r="C1615" s="2"/>
      <c r="D1615" s="2"/>
      <c r="E1615" s="2"/>
      <c r="F1615" s="2"/>
    </row>
    <row r="1616" spans="1:6" x14ac:dyDescent="0.3">
      <c r="A1616" s="12"/>
      <c r="B1616" s="2"/>
      <c r="C1616" s="2"/>
      <c r="D1616" s="2"/>
      <c r="E1616" s="2"/>
      <c r="F1616" s="2"/>
    </row>
    <row r="1617" spans="1:6" x14ac:dyDescent="0.3">
      <c r="A1617" s="12"/>
      <c r="B1617" s="2"/>
      <c r="C1617" s="2"/>
      <c r="D1617" s="2"/>
      <c r="E1617" s="2"/>
      <c r="F1617" s="2"/>
    </row>
    <row r="1618" spans="1:6" x14ac:dyDescent="0.3">
      <c r="A1618" s="12"/>
      <c r="B1618" s="2"/>
      <c r="C1618" s="2"/>
      <c r="D1618" s="2"/>
      <c r="E1618" s="2"/>
      <c r="F1618" s="2"/>
    </row>
    <row r="1619" spans="1:6" x14ac:dyDescent="0.3">
      <c r="A1619" s="12"/>
      <c r="B1619" s="2"/>
      <c r="C1619" s="2"/>
      <c r="D1619" s="2"/>
      <c r="E1619" s="2"/>
      <c r="F1619" s="2"/>
    </row>
    <row r="1620" spans="1:6" x14ac:dyDescent="0.3">
      <c r="A1620" s="12"/>
      <c r="B1620" s="2"/>
      <c r="C1620" s="2"/>
      <c r="D1620" s="2"/>
      <c r="E1620" s="2"/>
      <c r="F1620" s="2"/>
    </row>
    <row r="1621" spans="1:6" x14ac:dyDescent="0.3">
      <c r="A1621" s="12"/>
      <c r="B1621" s="2"/>
      <c r="C1621" s="2"/>
      <c r="D1621" s="2"/>
      <c r="E1621" s="2"/>
      <c r="F1621" s="2"/>
    </row>
    <row r="1622" spans="1:6" x14ac:dyDescent="0.3">
      <c r="A1622" s="12"/>
      <c r="B1622" s="2"/>
      <c r="C1622" s="2"/>
      <c r="D1622" s="2"/>
      <c r="E1622" s="2"/>
      <c r="F1622" s="2"/>
    </row>
    <row r="1623" spans="1:6" x14ac:dyDescent="0.3">
      <c r="A1623" s="12"/>
      <c r="B1623" s="2"/>
      <c r="C1623" s="2"/>
      <c r="D1623" s="2"/>
      <c r="E1623" s="2"/>
      <c r="F1623" s="2"/>
    </row>
    <row r="1624" spans="1:6" x14ac:dyDescent="0.3">
      <c r="A1624" s="12"/>
      <c r="B1624" s="2"/>
      <c r="C1624" s="2"/>
      <c r="D1624" s="2"/>
      <c r="E1624" s="2"/>
      <c r="F1624" s="2"/>
    </row>
    <row r="1625" spans="1:6" x14ac:dyDescent="0.3">
      <c r="A1625" s="12"/>
      <c r="B1625" s="2"/>
      <c r="C1625" s="2"/>
      <c r="D1625" s="2"/>
      <c r="E1625" s="2"/>
      <c r="F1625" s="2"/>
    </row>
    <row r="1626" spans="1:6" x14ac:dyDescent="0.3">
      <c r="A1626" s="12"/>
      <c r="B1626" s="2"/>
      <c r="C1626" s="2"/>
      <c r="D1626" s="2"/>
      <c r="E1626" s="2"/>
      <c r="F1626" s="2"/>
    </row>
    <row r="1627" spans="1:6" x14ac:dyDescent="0.3">
      <c r="A1627" s="12"/>
      <c r="B1627" s="2"/>
      <c r="C1627" s="2"/>
      <c r="D1627" s="2"/>
      <c r="E1627" s="2"/>
      <c r="F1627" s="2"/>
    </row>
    <row r="1628" spans="1:6" x14ac:dyDescent="0.3">
      <c r="A1628" s="12"/>
      <c r="B1628" s="2"/>
      <c r="C1628" s="2"/>
      <c r="D1628" s="2"/>
      <c r="E1628" s="2"/>
      <c r="F1628" s="2"/>
    </row>
    <row r="1629" spans="1:6" x14ac:dyDescent="0.3">
      <c r="A1629" s="12"/>
      <c r="B1629" s="2"/>
      <c r="C1629" s="2"/>
      <c r="D1629" s="2"/>
      <c r="E1629" s="2"/>
      <c r="F1629" s="2"/>
    </row>
    <row r="1630" spans="1:6" x14ac:dyDescent="0.3">
      <c r="A1630" s="12"/>
      <c r="B1630" s="2"/>
      <c r="C1630" s="2"/>
      <c r="D1630" s="2"/>
      <c r="E1630" s="2"/>
      <c r="F1630" s="2"/>
    </row>
    <row r="1631" spans="1:6" x14ac:dyDescent="0.3">
      <c r="A1631" s="12"/>
      <c r="B1631" s="2"/>
      <c r="C1631" s="2"/>
      <c r="D1631" s="2"/>
      <c r="E1631" s="2"/>
      <c r="F1631" s="2"/>
    </row>
    <row r="1632" spans="1:6" x14ac:dyDescent="0.3">
      <c r="A1632" s="12"/>
      <c r="B1632" s="2"/>
      <c r="C1632" s="2"/>
      <c r="D1632" s="2"/>
      <c r="E1632" s="2"/>
      <c r="F1632" s="2"/>
    </row>
    <row r="1633" spans="1:6" x14ac:dyDescent="0.3">
      <c r="A1633" s="12"/>
      <c r="B1633" s="2"/>
      <c r="C1633" s="2"/>
      <c r="D1633" s="2"/>
      <c r="E1633" s="2"/>
      <c r="F1633" s="2"/>
    </row>
    <row r="1634" spans="1:6" x14ac:dyDescent="0.3">
      <c r="A1634" s="12"/>
      <c r="B1634" s="2"/>
      <c r="C1634" s="2"/>
      <c r="D1634" s="2"/>
      <c r="E1634" s="2"/>
      <c r="F1634" s="2"/>
    </row>
    <row r="1635" spans="1:6" x14ac:dyDescent="0.3">
      <c r="A1635" s="12"/>
      <c r="B1635" s="2"/>
      <c r="C1635" s="2"/>
      <c r="D1635" s="2"/>
      <c r="E1635" s="2"/>
      <c r="F1635" s="2"/>
    </row>
    <row r="1636" spans="1:6" x14ac:dyDescent="0.3">
      <c r="A1636" s="12"/>
      <c r="B1636" s="2"/>
      <c r="C1636" s="2"/>
      <c r="D1636" s="2"/>
      <c r="E1636" s="2"/>
      <c r="F1636" s="2"/>
    </row>
    <row r="1637" spans="1:6" x14ac:dyDescent="0.3">
      <c r="A1637" s="12"/>
      <c r="B1637" s="2"/>
      <c r="C1637" s="2"/>
      <c r="D1637" s="2"/>
      <c r="E1637" s="2"/>
      <c r="F1637" s="2"/>
    </row>
    <row r="1638" spans="1:6" x14ac:dyDescent="0.3">
      <c r="A1638" s="12"/>
      <c r="B1638" s="2"/>
      <c r="C1638" s="2"/>
      <c r="D1638" s="2"/>
      <c r="E1638" s="2"/>
      <c r="F1638" s="2"/>
    </row>
    <row r="1639" spans="1:6" x14ac:dyDescent="0.3">
      <c r="A1639" s="12"/>
      <c r="B1639" s="2"/>
      <c r="C1639" s="2"/>
      <c r="D1639" s="2"/>
      <c r="E1639" s="2"/>
      <c r="F1639" s="2"/>
    </row>
    <row r="1640" spans="1:6" x14ac:dyDescent="0.3">
      <c r="A1640" s="12"/>
      <c r="B1640" s="2"/>
      <c r="C1640" s="2"/>
      <c r="D1640" s="2"/>
      <c r="E1640" s="2"/>
      <c r="F1640" s="2"/>
    </row>
    <row r="1641" spans="1:6" x14ac:dyDescent="0.3">
      <c r="A1641" s="12"/>
      <c r="B1641" s="2"/>
      <c r="C1641" s="2"/>
      <c r="D1641" s="2"/>
      <c r="E1641" s="2"/>
      <c r="F1641" s="2"/>
    </row>
    <row r="1642" spans="1:6" x14ac:dyDescent="0.3">
      <c r="A1642" s="12"/>
      <c r="B1642" s="2"/>
      <c r="C1642" s="2"/>
      <c r="D1642" s="2"/>
      <c r="E1642" s="2"/>
      <c r="F1642" s="2"/>
    </row>
    <row r="1643" spans="1:6" x14ac:dyDescent="0.3">
      <c r="A1643" s="12"/>
      <c r="B1643" s="2"/>
      <c r="C1643" s="2"/>
      <c r="D1643" s="2"/>
      <c r="E1643" s="2"/>
      <c r="F1643" s="2"/>
    </row>
    <row r="1644" spans="1:6" x14ac:dyDescent="0.3">
      <c r="A1644" s="12"/>
      <c r="B1644" s="2"/>
      <c r="C1644" s="2"/>
      <c r="D1644" s="2"/>
      <c r="E1644" s="2"/>
      <c r="F1644" s="2"/>
    </row>
    <row r="1645" spans="1:6" x14ac:dyDescent="0.3">
      <c r="A1645" s="12"/>
      <c r="B1645" s="2"/>
      <c r="C1645" s="2"/>
      <c r="D1645" s="2"/>
      <c r="E1645" s="2"/>
      <c r="F1645" s="2"/>
    </row>
    <row r="1646" spans="1:6" x14ac:dyDescent="0.3">
      <c r="A1646" s="12"/>
      <c r="B1646" s="2"/>
      <c r="C1646" s="2"/>
      <c r="D1646" s="2"/>
      <c r="E1646" s="2"/>
      <c r="F1646" s="2"/>
    </row>
    <row r="1647" spans="1:6" x14ac:dyDescent="0.3">
      <c r="A1647" s="12"/>
      <c r="B1647" s="2"/>
      <c r="C1647" s="2"/>
      <c r="D1647" s="2"/>
      <c r="E1647" s="2"/>
      <c r="F1647" s="2"/>
    </row>
    <row r="1648" spans="1:6" x14ac:dyDescent="0.3">
      <c r="A1648" s="12"/>
      <c r="B1648" s="2"/>
      <c r="C1648" s="2"/>
      <c r="D1648" s="2"/>
      <c r="E1648" s="2"/>
      <c r="F1648" s="2"/>
    </row>
    <row r="1649" spans="1:6" x14ac:dyDescent="0.3">
      <c r="A1649" s="12"/>
      <c r="B1649" s="2"/>
      <c r="C1649" s="2"/>
      <c r="D1649" s="2"/>
      <c r="E1649" s="2"/>
      <c r="F1649" s="2"/>
    </row>
    <row r="1650" spans="1:6" x14ac:dyDescent="0.3">
      <c r="A1650" s="12"/>
      <c r="B1650" s="2"/>
      <c r="C1650" s="2"/>
      <c r="D1650" s="2"/>
      <c r="E1650" s="2"/>
      <c r="F1650" s="2"/>
    </row>
    <row r="1651" spans="1:6" x14ac:dyDescent="0.3">
      <c r="A1651" s="12"/>
      <c r="B1651" s="2"/>
      <c r="C1651" s="2"/>
      <c r="D1651" s="2"/>
      <c r="E1651" s="2"/>
      <c r="F1651" s="2"/>
    </row>
    <row r="1652" spans="1:6" x14ac:dyDescent="0.3">
      <c r="A1652" s="12"/>
      <c r="B1652" s="2"/>
      <c r="C1652" s="2"/>
      <c r="D1652" s="2"/>
      <c r="E1652" s="2"/>
      <c r="F1652" s="2"/>
    </row>
    <row r="1653" spans="1:6" x14ac:dyDescent="0.3">
      <c r="A1653" s="12"/>
      <c r="B1653" s="2"/>
      <c r="C1653" s="2"/>
      <c r="D1653" s="2"/>
      <c r="E1653" s="2"/>
      <c r="F1653" s="2"/>
    </row>
    <row r="1654" spans="1:6" x14ac:dyDescent="0.3">
      <c r="A1654" s="12"/>
      <c r="B1654" s="2"/>
      <c r="C1654" s="2"/>
      <c r="D1654" s="2"/>
      <c r="E1654" s="2"/>
      <c r="F1654" s="2"/>
    </row>
    <row r="1655" spans="1:6" x14ac:dyDescent="0.3">
      <c r="A1655" s="12"/>
      <c r="B1655" s="2"/>
      <c r="C1655" s="2"/>
      <c r="D1655" s="2"/>
      <c r="E1655" s="2"/>
      <c r="F1655" s="2"/>
    </row>
    <row r="1656" spans="1:6" x14ac:dyDescent="0.3">
      <c r="A1656" s="12"/>
      <c r="B1656" s="2"/>
      <c r="C1656" s="2"/>
      <c r="D1656" s="2"/>
      <c r="E1656" s="2"/>
      <c r="F1656" s="2"/>
    </row>
    <row r="1657" spans="1:6" x14ac:dyDescent="0.3">
      <c r="A1657" s="12"/>
      <c r="B1657" s="2"/>
      <c r="C1657" s="2"/>
      <c r="D1657" s="2"/>
      <c r="E1657" s="2"/>
      <c r="F1657" s="2"/>
    </row>
    <row r="1658" spans="1:6" x14ac:dyDescent="0.3">
      <c r="A1658" s="12"/>
      <c r="B1658" s="2"/>
      <c r="C1658" s="2"/>
      <c r="D1658" s="2"/>
      <c r="E1658" s="2"/>
      <c r="F1658" s="2"/>
    </row>
    <row r="1659" spans="1:6" x14ac:dyDescent="0.3">
      <c r="A1659" s="12"/>
      <c r="B1659" s="2"/>
      <c r="C1659" s="2"/>
      <c r="D1659" s="2"/>
      <c r="E1659" s="2"/>
      <c r="F1659" s="2"/>
    </row>
    <row r="1660" spans="1:6" x14ac:dyDescent="0.3">
      <c r="A1660" s="12"/>
      <c r="B1660" s="2"/>
      <c r="C1660" s="2"/>
      <c r="D1660" s="2"/>
      <c r="E1660" s="2"/>
      <c r="F1660" s="2"/>
    </row>
    <row r="1661" spans="1:6" x14ac:dyDescent="0.3">
      <c r="A1661" s="12"/>
      <c r="B1661" s="2"/>
      <c r="C1661" s="2"/>
      <c r="D1661" s="2"/>
      <c r="E1661" s="2"/>
      <c r="F1661" s="2"/>
    </row>
    <row r="1662" spans="1:6" x14ac:dyDescent="0.3">
      <c r="A1662" s="12"/>
      <c r="B1662" s="2"/>
      <c r="C1662" s="2"/>
      <c r="D1662" s="2"/>
      <c r="E1662" s="2"/>
      <c r="F1662" s="2"/>
    </row>
    <row r="1663" spans="1:6" x14ac:dyDescent="0.3">
      <c r="A1663" s="12"/>
      <c r="B1663" s="2"/>
      <c r="C1663" s="2"/>
      <c r="D1663" s="2"/>
      <c r="E1663" s="2"/>
      <c r="F1663" s="2"/>
    </row>
    <row r="1664" spans="1:6" x14ac:dyDescent="0.3">
      <c r="A1664" s="12"/>
      <c r="B1664" s="2"/>
      <c r="C1664" s="2"/>
      <c r="D1664" s="2"/>
      <c r="E1664" s="2"/>
      <c r="F1664" s="2"/>
    </row>
    <row r="1665" spans="1:6" x14ac:dyDescent="0.3">
      <c r="A1665" s="12"/>
      <c r="B1665" s="2"/>
      <c r="C1665" s="2"/>
      <c r="D1665" s="2"/>
      <c r="E1665" s="2"/>
      <c r="F1665" s="2"/>
    </row>
    <row r="1666" spans="1:6" x14ac:dyDescent="0.3">
      <c r="A1666" s="12"/>
      <c r="B1666" s="2"/>
      <c r="C1666" s="2"/>
      <c r="D1666" s="2"/>
      <c r="E1666" s="2"/>
      <c r="F1666" s="2"/>
    </row>
    <row r="1667" spans="1:6" x14ac:dyDescent="0.3">
      <c r="A1667" s="12"/>
      <c r="B1667" s="2"/>
      <c r="C1667" s="2"/>
      <c r="D1667" s="2"/>
      <c r="E1667" s="2"/>
      <c r="F1667" s="2"/>
    </row>
    <row r="1668" spans="1:6" x14ac:dyDescent="0.3">
      <c r="A1668" s="12"/>
      <c r="B1668" s="2"/>
      <c r="C1668" s="2"/>
      <c r="D1668" s="2"/>
      <c r="E1668" s="2"/>
      <c r="F1668" s="2"/>
    </row>
    <row r="1669" spans="1:6" x14ac:dyDescent="0.3">
      <c r="A1669" s="12"/>
      <c r="B1669" s="2"/>
      <c r="C1669" s="2"/>
      <c r="D1669" s="2"/>
      <c r="E1669" s="2"/>
      <c r="F1669" s="2"/>
    </row>
    <row r="1670" spans="1:6" x14ac:dyDescent="0.3">
      <c r="A1670" s="12"/>
      <c r="B1670" s="2"/>
      <c r="C1670" s="2"/>
      <c r="D1670" s="2"/>
      <c r="E1670" s="2"/>
      <c r="F1670" s="2"/>
    </row>
    <row r="1671" spans="1:6" x14ac:dyDescent="0.3">
      <c r="A1671" s="12"/>
      <c r="B1671" s="2"/>
      <c r="C1671" s="2"/>
      <c r="D1671" s="2"/>
      <c r="E1671" s="2"/>
      <c r="F1671" s="2"/>
    </row>
    <row r="1672" spans="1:6" x14ac:dyDescent="0.3">
      <c r="A1672" s="12"/>
      <c r="B1672" s="2"/>
      <c r="C1672" s="2"/>
      <c r="D1672" s="2"/>
      <c r="E1672" s="2"/>
      <c r="F1672" s="2"/>
    </row>
    <row r="1673" spans="1:6" x14ac:dyDescent="0.3">
      <c r="A1673" s="12"/>
      <c r="B1673" s="2"/>
      <c r="C1673" s="2"/>
      <c r="D1673" s="2"/>
      <c r="E1673" s="2"/>
      <c r="F1673" s="2"/>
    </row>
    <row r="1674" spans="1:6" x14ac:dyDescent="0.3">
      <c r="A1674" s="12"/>
      <c r="B1674" s="2"/>
      <c r="C1674" s="2"/>
      <c r="D1674" s="2"/>
      <c r="E1674" s="2"/>
      <c r="F1674" s="2"/>
    </row>
    <row r="1675" spans="1:6" x14ac:dyDescent="0.3">
      <c r="A1675" s="12"/>
      <c r="B1675" s="2"/>
      <c r="C1675" s="2"/>
      <c r="D1675" s="2"/>
      <c r="E1675" s="2"/>
      <c r="F1675" s="2"/>
    </row>
    <row r="1676" spans="1:6" x14ac:dyDescent="0.3">
      <c r="A1676" s="12"/>
      <c r="B1676" s="2"/>
      <c r="C1676" s="2"/>
      <c r="D1676" s="2"/>
      <c r="E1676" s="2"/>
      <c r="F1676" s="2"/>
    </row>
    <row r="1677" spans="1:6" x14ac:dyDescent="0.3">
      <c r="A1677" s="12"/>
      <c r="B1677" s="2"/>
      <c r="C1677" s="2"/>
      <c r="D1677" s="2"/>
      <c r="E1677" s="2"/>
      <c r="F1677" s="2"/>
    </row>
    <row r="1678" spans="1:6" x14ac:dyDescent="0.3">
      <c r="A1678" s="12"/>
      <c r="B1678" s="2"/>
      <c r="C1678" s="2"/>
      <c r="D1678" s="2"/>
      <c r="E1678" s="2"/>
      <c r="F1678" s="2"/>
    </row>
    <row r="1679" spans="1:6" x14ac:dyDescent="0.3">
      <c r="A1679" s="12"/>
      <c r="B1679" s="2"/>
      <c r="C1679" s="2"/>
      <c r="D1679" s="2"/>
      <c r="E1679" s="2"/>
      <c r="F1679" s="2"/>
    </row>
    <row r="1680" spans="1:6" x14ac:dyDescent="0.3">
      <c r="A1680" s="12"/>
      <c r="B1680" s="2"/>
      <c r="C1680" s="2"/>
      <c r="D1680" s="2"/>
      <c r="E1680" s="2"/>
      <c r="F1680" s="2"/>
    </row>
    <row r="1681" spans="1:6" x14ac:dyDescent="0.3">
      <c r="A1681" s="12"/>
      <c r="B1681" s="2"/>
      <c r="C1681" s="2"/>
      <c r="D1681" s="2"/>
      <c r="E1681" s="2"/>
      <c r="F1681" s="2"/>
    </row>
    <row r="1682" spans="1:6" x14ac:dyDescent="0.3">
      <c r="A1682" s="12"/>
      <c r="B1682" s="2"/>
      <c r="C1682" s="2"/>
      <c r="D1682" s="2"/>
      <c r="E1682" s="2"/>
      <c r="F1682" s="2"/>
    </row>
    <row r="1683" spans="1:6" x14ac:dyDescent="0.3">
      <c r="A1683" s="12"/>
      <c r="B1683" s="2"/>
      <c r="C1683" s="2"/>
      <c r="D1683" s="2"/>
      <c r="E1683" s="2"/>
      <c r="F1683" s="2"/>
    </row>
    <row r="1684" spans="1:6" x14ac:dyDescent="0.3">
      <c r="A1684" s="12"/>
      <c r="B1684" s="2"/>
      <c r="C1684" s="2"/>
      <c r="D1684" s="2"/>
      <c r="E1684" s="2"/>
      <c r="F1684" s="2"/>
    </row>
    <row r="1685" spans="1:6" x14ac:dyDescent="0.3">
      <c r="A1685" s="12"/>
      <c r="B1685" s="2"/>
      <c r="C1685" s="2"/>
      <c r="D1685" s="2"/>
      <c r="E1685" s="2"/>
      <c r="F1685" s="2"/>
    </row>
    <row r="1686" spans="1:6" x14ac:dyDescent="0.3">
      <c r="A1686" s="12"/>
      <c r="B1686" s="2"/>
      <c r="C1686" s="2"/>
      <c r="D1686" s="2"/>
      <c r="E1686" s="2"/>
      <c r="F1686" s="2"/>
    </row>
    <row r="1687" spans="1:6" x14ac:dyDescent="0.3">
      <c r="A1687" s="12"/>
      <c r="B1687" s="2"/>
      <c r="C1687" s="2"/>
      <c r="D1687" s="2"/>
      <c r="E1687" s="2"/>
      <c r="F1687" s="2"/>
    </row>
    <row r="1688" spans="1:6" x14ac:dyDescent="0.3">
      <c r="A1688" s="12"/>
      <c r="B1688" s="2"/>
      <c r="C1688" s="2"/>
      <c r="D1688" s="2"/>
      <c r="E1688" s="2"/>
      <c r="F1688" s="2"/>
    </row>
    <row r="1689" spans="1:6" x14ac:dyDescent="0.3">
      <c r="A1689" s="12"/>
      <c r="B1689" s="2"/>
      <c r="C1689" s="2"/>
      <c r="D1689" s="2"/>
      <c r="E1689" s="2"/>
      <c r="F1689" s="2"/>
    </row>
    <row r="1690" spans="1:6" x14ac:dyDescent="0.3">
      <c r="A1690" s="12"/>
      <c r="B1690" s="2"/>
      <c r="C1690" s="2"/>
      <c r="D1690" s="2"/>
      <c r="E1690" s="2"/>
      <c r="F1690" s="2"/>
    </row>
    <row r="1691" spans="1:6" x14ac:dyDescent="0.3">
      <c r="A1691" s="12"/>
      <c r="B1691" s="2"/>
      <c r="C1691" s="2"/>
      <c r="D1691" s="2"/>
      <c r="E1691" s="2"/>
      <c r="F1691" s="2"/>
    </row>
    <row r="1692" spans="1:6" x14ac:dyDescent="0.3">
      <c r="A1692" s="12"/>
      <c r="B1692" s="2"/>
      <c r="C1692" s="2"/>
      <c r="D1692" s="2"/>
      <c r="E1692" s="2"/>
      <c r="F1692" s="2"/>
    </row>
    <row r="1693" spans="1:6" x14ac:dyDescent="0.3">
      <c r="A1693" s="12"/>
      <c r="B1693" s="2"/>
      <c r="C1693" s="2"/>
      <c r="D1693" s="2"/>
      <c r="E1693" s="2"/>
      <c r="F1693" s="2"/>
    </row>
    <row r="1694" spans="1:6" x14ac:dyDescent="0.3">
      <c r="A1694" s="12"/>
      <c r="B1694" s="2"/>
      <c r="C1694" s="2"/>
      <c r="D1694" s="2"/>
      <c r="E1694" s="2"/>
      <c r="F1694" s="2"/>
    </row>
    <row r="1695" spans="1:6" x14ac:dyDescent="0.3">
      <c r="A1695" s="12"/>
      <c r="B1695" s="2"/>
      <c r="C1695" s="2"/>
      <c r="D1695" s="2"/>
      <c r="E1695" s="2"/>
      <c r="F1695" s="2"/>
    </row>
    <row r="1696" spans="1:6" x14ac:dyDescent="0.3">
      <c r="A1696" s="12"/>
      <c r="B1696" s="2"/>
      <c r="C1696" s="2"/>
      <c r="D1696" s="2"/>
      <c r="E1696" s="2"/>
      <c r="F1696" s="2"/>
    </row>
    <row r="1697" spans="1:6" x14ac:dyDescent="0.3">
      <c r="A1697" s="12"/>
      <c r="B1697" s="2"/>
      <c r="C1697" s="2"/>
      <c r="D1697" s="2"/>
      <c r="E1697" s="2"/>
      <c r="F1697" s="2"/>
    </row>
    <row r="1698" spans="1:6" x14ac:dyDescent="0.3">
      <c r="A1698" s="12"/>
      <c r="B1698" s="2"/>
      <c r="C1698" s="2"/>
      <c r="D1698" s="2"/>
      <c r="E1698" s="2"/>
      <c r="F1698" s="2"/>
    </row>
    <row r="1699" spans="1:6" x14ac:dyDescent="0.3">
      <c r="A1699" s="12"/>
      <c r="B1699" s="2"/>
      <c r="C1699" s="2"/>
      <c r="D1699" s="2"/>
      <c r="E1699" s="2"/>
      <c r="F1699" s="2"/>
    </row>
    <row r="1700" spans="1:6" x14ac:dyDescent="0.3">
      <c r="A1700" s="12"/>
      <c r="B1700" s="2"/>
      <c r="C1700" s="2"/>
      <c r="D1700" s="2"/>
      <c r="E1700" s="2"/>
      <c r="F1700" s="2"/>
    </row>
    <row r="1701" spans="1:6" x14ac:dyDescent="0.3">
      <c r="A1701" s="12"/>
      <c r="B1701" s="2"/>
      <c r="C1701" s="2"/>
      <c r="D1701" s="2"/>
      <c r="E1701" s="2"/>
      <c r="F1701" s="2"/>
    </row>
    <row r="1702" spans="1:6" x14ac:dyDescent="0.3">
      <c r="A1702" s="12"/>
      <c r="B1702" s="2"/>
      <c r="C1702" s="2"/>
      <c r="D1702" s="2"/>
      <c r="E1702" s="2"/>
      <c r="F1702" s="2"/>
    </row>
    <row r="1703" spans="1:6" x14ac:dyDescent="0.3">
      <c r="A1703" s="12"/>
      <c r="B1703" s="2"/>
      <c r="C1703" s="2"/>
      <c r="D1703" s="2"/>
      <c r="E1703" s="2"/>
      <c r="F1703" s="2"/>
    </row>
    <row r="1704" spans="1:6" x14ac:dyDescent="0.3">
      <c r="A1704" s="12"/>
      <c r="B1704" s="2"/>
      <c r="C1704" s="2"/>
      <c r="D1704" s="2"/>
      <c r="E1704" s="2"/>
      <c r="F1704" s="2"/>
    </row>
    <row r="1705" spans="1:6" x14ac:dyDescent="0.3">
      <c r="A1705" s="12"/>
      <c r="B1705" s="2"/>
      <c r="C1705" s="2"/>
      <c r="D1705" s="2"/>
      <c r="E1705" s="2"/>
      <c r="F1705" s="2"/>
    </row>
    <row r="1706" spans="1:6" x14ac:dyDescent="0.3">
      <c r="A1706" s="12"/>
      <c r="B1706" s="2"/>
      <c r="C1706" s="2"/>
      <c r="D1706" s="2"/>
      <c r="E1706" s="2"/>
      <c r="F1706" s="2"/>
    </row>
    <row r="1707" spans="1:6" x14ac:dyDescent="0.3">
      <c r="A1707" s="12"/>
      <c r="B1707" s="2"/>
      <c r="C1707" s="2"/>
      <c r="D1707" s="2"/>
      <c r="E1707" s="2"/>
      <c r="F1707" s="2"/>
    </row>
    <row r="1708" spans="1:6" x14ac:dyDescent="0.3">
      <c r="A1708" s="12"/>
      <c r="B1708" s="2"/>
      <c r="C1708" s="2"/>
      <c r="D1708" s="2"/>
      <c r="E1708" s="2"/>
      <c r="F1708" s="2"/>
    </row>
    <row r="1709" spans="1:6" x14ac:dyDescent="0.3">
      <c r="A1709" s="12"/>
      <c r="B1709" s="2"/>
      <c r="C1709" s="2"/>
      <c r="D1709" s="2"/>
      <c r="E1709" s="2"/>
      <c r="F1709" s="2"/>
    </row>
    <row r="1710" spans="1:6" x14ac:dyDescent="0.3">
      <c r="A1710" s="12"/>
      <c r="B1710" s="2"/>
      <c r="C1710" s="2"/>
      <c r="D1710" s="2"/>
      <c r="E1710" s="2"/>
      <c r="F1710" s="2"/>
    </row>
    <row r="1711" spans="1:6" x14ac:dyDescent="0.3">
      <c r="A1711" s="12"/>
      <c r="B1711" s="2"/>
      <c r="C1711" s="2"/>
      <c r="D1711" s="2"/>
      <c r="E1711" s="2"/>
      <c r="F1711" s="2"/>
    </row>
    <row r="1712" spans="1:6" x14ac:dyDescent="0.3">
      <c r="A1712" s="12"/>
      <c r="B1712" s="2"/>
      <c r="C1712" s="2"/>
      <c r="D1712" s="2"/>
      <c r="E1712" s="2"/>
      <c r="F1712" s="2"/>
    </row>
    <row r="1713" spans="1:6" x14ac:dyDescent="0.3">
      <c r="A1713" s="12"/>
      <c r="B1713" s="2"/>
      <c r="C1713" s="2"/>
      <c r="D1713" s="2"/>
      <c r="E1713" s="2"/>
      <c r="F1713" s="2"/>
    </row>
    <row r="1714" spans="1:6" x14ac:dyDescent="0.3">
      <c r="A1714" s="12"/>
      <c r="B1714" s="2"/>
      <c r="C1714" s="2"/>
      <c r="D1714" s="2"/>
      <c r="E1714" s="2"/>
      <c r="F1714" s="2"/>
    </row>
    <row r="1715" spans="1:6" x14ac:dyDescent="0.3">
      <c r="A1715" s="12"/>
      <c r="B1715" s="2"/>
      <c r="C1715" s="2"/>
      <c r="D1715" s="2"/>
      <c r="E1715" s="2"/>
      <c r="F1715" s="2"/>
    </row>
    <row r="1716" spans="1:6" x14ac:dyDescent="0.3">
      <c r="A1716" s="12"/>
      <c r="B1716" s="2"/>
      <c r="C1716" s="2"/>
      <c r="D1716" s="2"/>
      <c r="E1716" s="2"/>
      <c r="F1716" s="2"/>
    </row>
    <row r="1717" spans="1:6" x14ac:dyDescent="0.3">
      <c r="A1717" s="12"/>
      <c r="B1717" s="2"/>
      <c r="C1717" s="2"/>
      <c r="D1717" s="2"/>
      <c r="E1717" s="2"/>
      <c r="F1717" s="2"/>
    </row>
    <row r="1718" spans="1:6" x14ac:dyDescent="0.3">
      <c r="A1718" s="12"/>
      <c r="B1718" s="2"/>
      <c r="C1718" s="2"/>
      <c r="D1718" s="2"/>
      <c r="E1718" s="2"/>
      <c r="F1718" s="2"/>
    </row>
    <row r="1719" spans="1:6" x14ac:dyDescent="0.3">
      <c r="A1719" s="12"/>
      <c r="B1719" s="2"/>
      <c r="C1719" s="2"/>
      <c r="D1719" s="2"/>
      <c r="E1719" s="2"/>
      <c r="F1719" s="2"/>
    </row>
    <row r="1720" spans="1:6" x14ac:dyDescent="0.3">
      <c r="A1720" s="12"/>
      <c r="B1720" s="2"/>
      <c r="C1720" s="2"/>
      <c r="D1720" s="2"/>
      <c r="E1720" s="2"/>
      <c r="F1720" s="2"/>
    </row>
    <row r="1721" spans="1:6" x14ac:dyDescent="0.3">
      <c r="A1721" s="12"/>
      <c r="B1721" s="2"/>
      <c r="C1721" s="2"/>
      <c r="D1721" s="2"/>
      <c r="E1721" s="2"/>
      <c r="F1721" s="2"/>
    </row>
    <row r="1722" spans="1:6" x14ac:dyDescent="0.3">
      <c r="A1722" s="12"/>
      <c r="B1722" s="2"/>
      <c r="C1722" s="2"/>
      <c r="D1722" s="2"/>
      <c r="E1722" s="2"/>
      <c r="F1722" s="2"/>
    </row>
    <row r="1723" spans="1:6" x14ac:dyDescent="0.3">
      <c r="A1723" s="12"/>
      <c r="B1723" s="2"/>
      <c r="C1723" s="2"/>
      <c r="D1723" s="2"/>
      <c r="E1723" s="2"/>
      <c r="F1723" s="2"/>
    </row>
    <row r="1724" spans="1:6" x14ac:dyDescent="0.3">
      <c r="A1724" s="12"/>
      <c r="B1724" s="2"/>
      <c r="C1724" s="2"/>
      <c r="D1724" s="2"/>
      <c r="E1724" s="2"/>
      <c r="F1724" s="2"/>
    </row>
    <row r="1725" spans="1:6" x14ac:dyDescent="0.3">
      <c r="A1725" s="12"/>
      <c r="B1725" s="2"/>
      <c r="C1725" s="2"/>
      <c r="D1725" s="2"/>
      <c r="E1725" s="2"/>
      <c r="F1725" s="2"/>
    </row>
    <row r="1726" spans="1:6" x14ac:dyDescent="0.3">
      <c r="A1726" s="12"/>
      <c r="B1726" s="2"/>
      <c r="C1726" s="2"/>
      <c r="D1726" s="2"/>
      <c r="E1726" s="2"/>
      <c r="F1726" s="2"/>
    </row>
    <row r="1727" spans="1:6" x14ac:dyDescent="0.3">
      <c r="A1727" s="12"/>
      <c r="B1727" s="2"/>
      <c r="C1727" s="2"/>
      <c r="D1727" s="2"/>
      <c r="E1727" s="2"/>
      <c r="F1727" s="2"/>
    </row>
    <row r="1728" spans="1:6" x14ac:dyDescent="0.3">
      <c r="A1728" s="12"/>
      <c r="B1728" s="2"/>
      <c r="C1728" s="2"/>
      <c r="D1728" s="2"/>
      <c r="E1728" s="2"/>
      <c r="F1728" s="2"/>
    </row>
    <row r="1729" spans="1:6" x14ac:dyDescent="0.3">
      <c r="A1729" s="12"/>
      <c r="B1729" s="2"/>
      <c r="C1729" s="2"/>
      <c r="D1729" s="2"/>
      <c r="E1729" s="2"/>
      <c r="F1729" s="2"/>
    </row>
    <row r="1730" spans="1:6" x14ac:dyDescent="0.3">
      <c r="A1730" s="12"/>
      <c r="B1730" s="2"/>
      <c r="C1730" s="2"/>
      <c r="D1730" s="2"/>
      <c r="E1730" s="2"/>
      <c r="F1730" s="2"/>
    </row>
    <row r="1731" spans="1:6" x14ac:dyDescent="0.3">
      <c r="A1731" s="12"/>
      <c r="B1731" s="2"/>
      <c r="C1731" s="2"/>
      <c r="D1731" s="2"/>
      <c r="E1731" s="2"/>
      <c r="F1731" s="2"/>
    </row>
    <row r="1732" spans="1:6" x14ac:dyDescent="0.3">
      <c r="A1732" s="12"/>
      <c r="B1732" s="2"/>
      <c r="C1732" s="2"/>
      <c r="D1732" s="2"/>
      <c r="E1732" s="2"/>
      <c r="F1732" s="2"/>
    </row>
    <row r="1733" spans="1:6" x14ac:dyDescent="0.3">
      <c r="A1733" s="12"/>
      <c r="B1733" s="2"/>
      <c r="C1733" s="2"/>
      <c r="D1733" s="2"/>
      <c r="E1733" s="2"/>
      <c r="F1733" s="2"/>
    </row>
    <row r="1734" spans="1:6" x14ac:dyDescent="0.3">
      <c r="A1734" s="12"/>
      <c r="B1734" s="2"/>
      <c r="C1734" s="2"/>
      <c r="D1734" s="2"/>
      <c r="E1734" s="2"/>
      <c r="F1734" s="2"/>
    </row>
    <row r="1735" spans="1:6" x14ac:dyDescent="0.3">
      <c r="A1735" s="12"/>
      <c r="B1735" s="2"/>
      <c r="C1735" s="2"/>
      <c r="D1735" s="2"/>
      <c r="E1735" s="2"/>
      <c r="F1735" s="2"/>
    </row>
    <row r="1736" spans="1:6" x14ac:dyDescent="0.3">
      <c r="A1736" s="12"/>
      <c r="B1736" s="2"/>
      <c r="C1736" s="2"/>
      <c r="D1736" s="2"/>
      <c r="E1736" s="2"/>
      <c r="F1736" s="2"/>
    </row>
    <row r="1737" spans="1:6" x14ac:dyDescent="0.3">
      <c r="A1737" s="12"/>
      <c r="B1737" s="2"/>
      <c r="C1737" s="2"/>
      <c r="D1737" s="2"/>
      <c r="E1737" s="2"/>
      <c r="F1737" s="2"/>
    </row>
    <row r="1738" spans="1:6" x14ac:dyDescent="0.3">
      <c r="A1738" s="12"/>
      <c r="B1738" s="2"/>
      <c r="C1738" s="2"/>
      <c r="D1738" s="2"/>
      <c r="E1738" s="2"/>
      <c r="F1738" s="2"/>
    </row>
    <row r="1739" spans="1:6" x14ac:dyDescent="0.3">
      <c r="A1739" s="12"/>
      <c r="B1739" s="2"/>
      <c r="C1739" s="2"/>
      <c r="D1739" s="2"/>
      <c r="E1739" s="2"/>
      <c r="F1739" s="2"/>
    </row>
    <row r="1740" spans="1:6" x14ac:dyDescent="0.3">
      <c r="A1740" s="12"/>
      <c r="B1740" s="2"/>
      <c r="C1740" s="2"/>
      <c r="D1740" s="2"/>
      <c r="E1740" s="2"/>
      <c r="F1740" s="2"/>
    </row>
    <row r="1741" spans="1:6" x14ac:dyDescent="0.3">
      <c r="A1741" s="12"/>
      <c r="B1741" s="2"/>
      <c r="C1741" s="2"/>
      <c r="D1741" s="2"/>
      <c r="E1741" s="2"/>
      <c r="F1741" s="2"/>
    </row>
    <row r="1742" spans="1:6" x14ac:dyDescent="0.3">
      <c r="A1742" s="12"/>
      <c r="B1742" s="2"/>
      <c r="C1742" s="2"/>
      <c r="D1742" s="2"/>
      <c r="E1742" s="2"/>
      <c r="F1742" s="2"/>
    </row>
    <row r="1743" spans="1:6" x14ac:dyDescent="0.3">
      <c r="A1743" s="12"/>
      <c r="B1743" s="2"/>
      <c r="C1743" s="2"/>
      <c r="D1743" s="2"/>
      <c r="E1743" s="2"/>
      <c r="F1743" s="2"/>
    </row>
    <row r="1744" spans="1:6" x14ac:dyDescent="0.3">
      <c r="A1744" s="12"/>
      <c r="B1744" s="2"/>
      <c r="C1744" s="2"/>
      <c r="D1744" s="2"/>
      <c r="E1744" s="2"/>
      <c r="F1744" s="2"/>
    </row>
    <row r="1745" spans="1:6" x14ac:dyDescent="0.3">
      <c r="A1745" s="12"/>
      <c r="B1745" s="2"/>
      <c r="C1745" s="2"/>
      <c r="D1745" s="2"/>
      <c r="E1745" s="2"/>
      <c r="F1745" s="2"/>
    </row>
    <row r="1746" spans="1:6" x14ac:dyDescent="0.3">
      <c r="A1746" s="12"/>
      <c r="B1746" s="2"/>
      <c r="C1746" s="2"/>
      <c r="D1746" s="2"/>
      <c r="E1746" s="2"/>
      <c r="F1746" s="2"/>
    </row>
    <row r="1747" spans="1:6" x14ac:dyDescent="0.3">
      <c r="A1747" s="12"/>
      <c r="B1747" s="2"/>
      <c r="C1747" s="2"/>
      <c r="D1747" s="2"/>
      <c r="E1747" s="2"/>
      <c r="F1747" s="2"/>
    </row>
    <row r="1748" spans="1:6" x14ac:dyDescent="0.3">
      <c r="A1748" s="12"/>
      <c r="B1748" s="2"/>
      <c r="C1748" s="2"/>
      <c r="D1748" s="2"/>
      <c r="E1748" s="2"/>
      <c r="F1748" s="2"/>
    </row>
    <row r="1749" spans="1:6" x14ac:dyDescent="0.3">
      <c r="A1749" s="12"/>
      <c r="B1749" s="2"/>
      <c r="C1749" s="2"/>
      <c r="D1749" s="2"/>
      <c r="E1749" s="2"/>
      <c r="F1749" s="2"/>
    </row>
    <row r="1750" spans="1:6" x14ac:dyDescent="0.3">
      <c r="A1750" s="12"/>
      <c r="B1750" s="2"/>
      <c r="C1750" s="2"/>
      <c r="D1750" s="2"/>
      <c r="E1750" s="2"/>
      <c r="F1750" s="2"/>
    </row>
    <row r="1751" spans="1:6" x14ac:dyDescent="0.3">
      <c r="A1751" s="12"/>
      <c r="B1751" s="2"/>
      <c r="C1751" s="2"/>
      <c r="D1751" s="2"/>
      <c r="E1751" s="2"/>
      <c r="F1751" s="2"/>
    </row>
    <row r="1752" spans="1:6" x14ac:dyDescent="0.3">
      <c r="A1752" s="12"/>
      <c r="B1752" s="2"/>
      <c r="C1752" s="2"/>
      <c r="D1752" s="2"/>
      <c r="E1752" s="2"/>
      <c r="F1752" s="2"/>
    </row>
    <row r="1753" spans="1:6" x14ac:dyDescent="0.3">
      <c r="A1753" s="12"/>
      <c r="B1753" s="2"/>
      <c r="C1753" s="2"/>
      <c r="D1753" s="2"/>
      <c r="E1753" s="2"/>
      <c r="F1753" s="2"/>
    </row>
    <row r="1754" spans="1:6" x14ac:dyDescent="0.3">
      <c r="A1754" s="12"/>
      <c r="B1754" s="2"/>
      <c r="C1754" s="2"/>
      <c r="D1754" s="2"/>
      <c r="E1754" s="2"/>
      <c r="F1754" s="2"/>
    </row>
    <row r="1755" spans="1:6" x14ac:dyDescent="0.3">
      <c r="A1755" s="12"/>
      <c r="B1755" s="2"/>
      <c r="C1755" s="2"/>
      <c r="D1755" s="2"/>
      <c r="E1755" s="2"/>
      <c r="F1755" s="2"/>
    </row>
    <row r="1756" spans="1:6" x14ac:dyDescent="0.3">
      <c r="A1756" s="12"/>
      <c r="B1756" s="2"/>
      <c r="C1756" s="2"/>
      <c r="D1756" s="2"/>
      <c r="E1756" s="2"/>
      <c r="F1756" s="2"/>
    </row>
    <row r="1757" spans="1:6" x14ac:dyDescent="0.3">
      <c r="A1757" s="12"/>
      <c r="B1757" s="2"/>
      <c r="C1757" s="2"/>
      <c r="D1757" s="2"/>
      <c r="E1757" s="2"/>
      <c r="F1757" s="2"/>
    </row>
    <row r="1758" spans="1:6" x14ac:dyDescent="0.3">
      <c r="A1758" s="12"/>
      <c r="B1758" s="2"/>
      <c r="C1758" s="2"/>
      <c r="D1758" s="2"/>
      <c r="E1758" s="2"/>
      <c r="F1758" s="2"/>
    </row>
    <row r="1759" spans="1:6" x14ac:dyDescent="0.3">
      <c r="A1759" s="12"/>
      <c r="B1759" s="2"/>
      <c r="C1759" s="2"/>
      <c r="D1759" s="2"/>
      <c r="E1759" s="2"/>
      <c r="F1759" s="2"/>
    </row>
    <row r="1760" spans="1:6" x14ac:dyDescent="0.3">
      <c r="A1760" s="12"/>
      <c r="B1760" s="2"/>
      <c r="C1760" s="2"/>
      <c r="D1760" s="2"/>
      <c r="E1760" s="2"/>
      <c r="F1760" s="2"/>
    </row>
    <row r="1761" spans="1:6" x14ac:dyDescent="0.3">
      <c r="A1761" s="12"/>
      <c r="B1761" s="2"/>
      <c r="C1761" s="2"/>
      <c r="D1761" s="2"/>
      <c r="E1761" s="2"/>
      <c r="F1761" s="2"/>
    </row>
    <row r="1762" spans="1:6" x14ac:dyDescent="0.3">
      <c r="A1762" s="12"/>
      <c r="B1762" s="2"/>
      <c r="C1762" s="2"/>
      <c r="D1762" s="2"/>
      <c r="E1762" s="2"/>
      <c r="F1762" s="2"/>
    </row>
    <row r="1763" spans="1:6" x14ac:dyDescent="0.3">
      <c r="A1763" s="12"/>
      <c r="B1763" s="2"/>
      <c r="C1763" s="2"/>
      <c r="D1763" s="2"/>
      <c r="E1763" s="2"/>
      <c r="F1763" s="2"/>
    </row>
    <row r="1764" spans="1:6" x14ac:dyDescent="0.3">
      <c r="A1764" s="12"/>
      <c r="B1764" s="2"/>
      <c r="C1764" s="2"/>
      <c r="D1764" s="2"/>
      <c r="E1764" s="2"/>
      <c r="F1764" s="2"/>
    </row>
    <row r="1765" spans="1:6" x14ac:dyDescent="0.3">
      <c r="A1765" s="12"/>
      <c r="B1765" s="2"/>
      <c r="C1765" s="2"/>
      <c r="D1765" s="2"/>
      <c r="E1765" s="2"/>
      <c r="F1765" s="2"/>
    </row>
    <row r="1766" spans="1:6" x14ac:dyDescent="0.3">
      <c r="A1766" s="12"/>
      <c r="B1766" s="2"/>
      <c r="C1766" s="2"/>
      <c r="D1766" s="2"/>
      <c r="E1766" s="2"/>
      <c r="F1766" s="2"/>
    </row>
    <row r="1767" spans="1:6" x14ac:dyDescent="0.3">
      <c r="A1767" s="12"/>
      <c r="B1767" s="2"/>
      <c r="C1767" s="2"/>
      <c r="D1767" s="2"/>
      <c r="E1767" s="2"/>
      <c r="F1767" s="2"/>
    </row>
    <row r="1768" spans="1:6" x14ac:dyDescent="0.3">
      <c r="A1768" s="12"/>
      <c r="B1768" s="2"/>
      <c r="C1768" s="2"/>
      <c r="D1768" s="2"/>
      <c r="E1768" s="2"/>
      <c r="F1768" s="2"/>
    </row>
    <row r="1769" spans="1:6" x14ac:dyDescent="0.3">
      <c r="A1769" s="12"/>
      <c r="B1769" s="2"/>
      <c r="C1769" s="2"/>
      <c r="D1769" s="2"/>
      <c r="E1769" s="2"/>
      <c r="F1769" s="2"/>
    </row>
    <row r="1770" spans="1:6" x14ac:dyDescent="0.3">
      <c r="A1770" s="12"/>
      <c r="B1770" s="2"/>
      <c r="C1770" s="2"/>
      <c r="D1770" s="2"/>
      <c r="E1770" s="2"/>
      <c r="F1770" s="2"/>
    </row>
    <row r="1771" spans="1:6" x14ac:dyDescent="0.3">
      <c r="A1771" s="12"/>
      <c r="B1771" s="2"/>
      <c r="C1771" s="2"/>
      <c r="D1771" s="2"/>
      <c r="E1771" s="2"/>
      <c r="F1771" s="2"/>
    </row>
    <row r="1772" spans="1:6" x14ac:dyDescent="0.3">
      <c r="A1772" s="12"/>
      <c r="B1772" s="2"/>
      <c r="C1772" s="2"/>
      <c r="D1772" s="2"/>
      <c r="E1772" s="2"/>
      <c r="F1772" s="2"/>
    </row>
    <row r="1773" spans="1:6" x14ac:dyDescent="0.3">
      <c r="A1773" s="12"/>
      <c r="B1773" s="2"/>
      <c r="C1773" s="2"/>
      <c r="D1773" s="2"/>
      <c r="E1773" s="2"/>
      <c r="F1773" s="2"/>
    </row>
    <row r="1774" spans="1:6" x14ac:dyDescent="0.3">
      <c r="A1774" s="12"/>
      <c r="B1774" s="2"/>
      <c r="C1774" s="2"/>
      <c r="D1774" s="2"/>
      <c r="E1774" s="2"/>
      <c r="F1774" s="2"/>
    </row>
    <row r="1775" spans="1:6" x14ac:dyDescent="0.3">
      <c r="A1775" s="12"/>
      <c r="B1775" s="2"/>
      <c r="C1775" s="2"/>
      <c r="D1775" s="2"/>
      <c r="E1775" s="2"/>
      <c r="F1775" s="2"/>
    </row>
    <row r="1776" spans="1:6" x14ac:dyDescent="0.3">
      <c r="A1776" s="12"/>
      <c r="B1776" s="2"/>
      <c r="C1776" s="2"/>
      <c r="D1776" s="2"/>
      <c r="E1776" s="2"/>
      <c r="F1776" s="2"/>
    </row>
    <row r="1777" spans="1:6" x14ac:dyDescent="0.3">
      <c r="A1777" s="12"/>
      <c r="B1777" s="2"/>
      <c r="C1777" s="2"/>
      <c r="D1777" s="2"/>
      <c r="E1777" s="2"/>
      <c r="F1777" s="2"/>
    </row>
    <row r="1778" spans="1:6" x14ac:dyDescent="0.3">
      <c r="A1778" s="12"/>
      <c r="B1778" s="2"/>
      <c r="C1778" s="2"/>
      <c r="D1778" s="2"/>
      <c r="E1778" s="2"/>
      <c r="F1778" s="2"/>
    </row>
    <row r="1779" spans="1:6" x14ac:dyDescent="0.3">
      <c r="A1779" s="12"/>
      <c r="B1779" s="2"/>
      <c r="C1779" s="2"/>
      <c r="D1779" s="2"/>
      <c r="E1779" s="2"/>
      <c r="F1779" s="2"/>
    </row>
    <row r="1780" spans="1:6" x14ac:dyDescent="0.3">
      <c r="A1780" s="12"/>
      <c r="B1780" s="2"/>
      <c r="C1780" s="2"/>
      <c r="D1780" s="2"/>
      <c r="E1780" s="2"/>
      <c r="F1780" s="2"/>
    </row>
    <row r="1781" spans="1:6" x14ac:dyDescent="0.3">
      <c r="A1781" s="12"/>
      <c r="B1781" s="2"/>
      <c r="C1781" s="2"/>
      <c r="D1781" s="2"/>
      <c r="E1781" s="2"/>
      <c r="F1781" s="2"/>
    </row>
    <row r="1782" spans="1:6" x14ac:dyDescent="0.3">
      <c r="A1782" s="12"/>
      <c r="B1782" s="2"/>
      <c r="C1782" s="2"/>
      <c r="D1782" s="2"/>
      <c r="E1782" s="2"/>
      <c r="F1782" s="2"/>
    </row>
    <row r="1783" spans="1:6" x14ac:dyDescent="0.3">
      <c r="A1783" s="12"/>
      <c r="B1783" s="2"/>
      <c r="C1783" s="2"/>
      <c r="D1783" s="2"/>
      <c r="E1783" s="2"/>
      <c r="F1783" s="2"/>
    </row>
    <row r="1784" spans="1:6" x14ac:dyDescent="0.3">
      <c r="A1784" s="12"/>
      <c r="B1784" s="2"/>
      <c r="C1784" s="2"/>
      <c r="D1784" s="2"/>
      <c r="E1784" s="2"/>
      <c r="F1784" s="2"/>
    </row>
    <row r="1785" spans="1:6" x14ac:dyDescent="0.3">
      <c r="A1785" s="12"/>
      <c r="B1785" s="2"/>
      <c r="C1785" s="2"/>
      <c r="D1785" s="2"/>
      <c r="E1785" s="2"/>
      <c r="F1785" s="2"/>
    </row>
    <row r="1786" spans="1:6" x14ac:dyDescent="0.3">
      <c r="A1786" s="12"/>
      <c r="B1786" s="2"/>
      <c r="C1786" s="2"/>
      <c r="D1786" s="2"/>
      <c r="E1786" s="2"/>
      <c r="F1786" s="2"/>
    </row>
    <row r="1787" spans="1:6" x14ac:dyDescent="0.3">
      <c r="A1787" s="12"/>
      <c r="B1787" s="2"/>
      <c r="C1787" s="2"/>
      <c r="D1787" s="2"/>
      <c r="E1787" s="2"/>
      <c r="F1787" s="2"/>
    </row>
    <row r="1788" spans="1:6" x14ac:dyDescent="0.3">
      <c r="A1788" s="12"/>
      <c r="B1788" s="2"/>
      <c r="C1788" s="2"/>
      <c r="D1788" s="2"/>
      <c r="E1788" s="2"/>
      <c r="F1788" s="2"/>
    </row>
    <row r="1789" spans="1:6" x14ac:dyDescent="0.3">
      <c r="A1789" s="12"/>
      <c r="B1789" s="2"/>
      <c r="C1789" s="2"/>
      <c r="D1789" s="2"/>
      <c r="E1789" s="2"/>
      <c r="F1789" s="2"/>
    </row>
    <row r="1790" spans="1:6" x14ac:dyDescent="0.3">
      <c r="A1790" s="12"/>
      <c r="B1790" s="2"/>
      <c r="C1790" s="2"/>
      <c r="D1790" s="2"/>
      <c r="E1790" s="2"/>
      <c r="F1790" s="2"/>
    </row>
    <row r="1791" spans="1:6" x14ac:dyDescent="0.3">
      <c r="A1791" s="12"/>
      <c r="B1791" s="2"/>
      <c r="C1791" s="2"/>
      <c r="D1791" s="2"/>
      <c r="E1791" s="2"/>
      <c r="F1791" s="2"/>
    </row>
    <row r="1792" spans="1:6" x14ac:dyDescent="0.3">
      <c r="A1792" s="12"/>
      <c r="B1792" s="2"/>
      <c r="C1792" s="2"/>
      <c r="D1792" s="2"/>
      <c r="E1792" s="2"/>
      <c r="F1792" s="2"/>
    </row>
    <row r="1793" spans="1:6" x14ac:dyDescent="0.3">
      <c r="A1793" s="12"/>
      <c r="B1793" s="2"/>
      <c r="C1793" s="2"/>
      <c r="D1793" s="2"/>
      <c r="E1793" s="2"/>
      <c r="F1793" s="2"/>
    </row>
    <row r="1794" spans="1:6" x14ac:dyDescent="0.3">
      <c r="A1794" s="12"/>
      <c r="B1794" s="2"/>
      <c r="C1794" s="2"/>
      <c r="D1794" s="2"/>
      <c r="E1794" s="2"/>
      <c r="F1794" s="2"/>
    </row>
    <row r="1795" spans="1:6" x14ac:dyDescent="0.3">
      <c r="A1795" s="12"/>
      <c r="B1795" s="2"/>
      <c r="C1795" s="2"/>
      <c r="D1795" s="2"/>
      <c r="E1795" s="2"/>
      <c r="F1795" s="2"/>
    </row>
    <row r="1796" spans="1:6" x14ac:dyDescent="0.3">
      <c r="A1796" s="12"/>
      <c r="B1796" s="2"/>
      <c r="C1796" s="2"/>
      <c r="D1796" s="2"/>
      <c r="E1796" s="2"/>
      <c r="F1796" s="2"/>
    </row>
    <row r="1797" spans="1:6" x14ac:dyDescent="0.3">
      <c r="A1797" s="12"/>
      <c r="B1797" s="2"/>
      <c r="C1797" s="2"/>
      <c r="D1797" s="2"/>
      <c r="E1797" s="2"/>
      <c r="F1797" s="2"/>
    </row>
    <row r="1798" spans="1:6" x14ac:dyDescent="0.3">
      <c r="A1798" s="12"/>
      <c r="B1798" s="2"/>
      <c r="C1798" s="2"/>
      <c r="D1798" s="2"/>
      <c r="E1798" s="2"/>
      <c r="F1798" s="2"/>
    </row>
    <row r="1799" spans="1:6" x14ac:dyDescent="0.3">
      <c r="A1799" s="12"/>
      <c r="B1799" s="2"/>
      <c r="C1799" s="2"/>
      <c r="D1799" s="2"/>
      <c r="E1799" s="2"/>
      <c r="F1799" s="2"/>
    </row>
    <row r="1800" spans="1:6" x14ac:dyDescent="0.3">
      <c r="A1800" s="12"/>
      <c r="B1800" s="2"/>
      <c r="C1800" s="2"/>
      <c r="D1800" s="2"/>
      <c r="E1800" s="2"/>
      <c r="F1800" s="2"/>
    </row>
    <row r="1801" spans="1:6" x14ac:dyDescent="0.3">
      <c r="A1801" s="12"/>
      <c r="B1801" s="2"/>
      <c r="C1801" s="2"/>
      <c r="D1801" s="2"/>
      <c r="E1801" s="2"/>
      <c r="F1801" s="2"/>
    </row>
    <row r="1802" spans="1:6" x14ac:dyDescent="0.3">
      <c r="A1802" s="12"/>
      <c r="B1802" s="2"/>
      <c r="C1802" s="2"/>
      <c r="D1802" s="2"/>
      <c r="E1802" s="2"/>
      <c r="F1802" s="2"/>
    </row>
    <row r="1803" spans="1:6" x14ac:dyDescent="0.3">
      <c r="A1803" s="12"/>
      <c r="B1803" s="2"/>
      <c r="C1803" s="2"/>
      <c r="D1803" s="2"/>
      <c r="E1803" s="2"/>
      <c r="F1803" s="2"/>
    </row>
    <row r="1804" spans="1:6" x14ac:dyDescent="0.3">
      <c r="A1804" s="12"/>
      <c r="B1804" s="2"/>
      <c r="C1804" s="2"/>
      <c r="D1804" s="2"/>
      <c r="E1804" s="2"/>
      <c r="F1804" s="2"/>
    </row>
    <row r="1805" spans="1:6" x14ac:dyDescent="0.3">
      <c r="A1805" s="12"/>
      <c r="B1805" s="2"/>
      <c r="C1805" s="2"/>
      <c r="D1805" s="2"/>
      <c r="E1805" s="2"/>
      <c r="F1805" s="2"/>
    </row>
    <row r="1806" spans="1:6" x14ac:dyDescent="0.3">
      <c r="A1806" s="12"/>
      <c r="B1806" s="2"/>
      <c r="C1806" s="2"/>
      <c r="D1806" s="2"/>
      <c r="E1806" s="2"/>
      <c r="F1806" s="2"/>
    </row>
    <row r="1807" spans="1:6" x14ac:dyDescent="0.3">
      <c r="A1807" s="12"/>
      <c r="B1807" s="2"/>
      <c r="C1807" s="2"/>
      <c r="D1807" s="2"/>
      <c r="E1807" s="2"/>
      <c r="F1807" s="2"/>
    </row>
    <row r="1808" spans="1:6" x14ac:dyDescent="0.3">
      <c r="A1808" s="12"/>
      <c r="B1808" s="2"/>
      <c r="C1808" s="2"/>
      <c r="D1808" s="2"/>
      <c r="E1808" s="2"/>
      <c r="F1808" s="2"/>
    </row>
    <row r="1809" spans="1:6" x14ac:dyDescent="0.3">
      <c r="A1809" s="12"/>
      <c r="B1809" s="2"/>
      <c r="C1809" s="2"/>
      <c r="D1809" s="2"/>
      <c r="E1809" s="2"/>
      <c r="F1809" s="2"/>
    </row>
    <row r="1810" spans="1:6" x14ac:dyDescent="0.3">
      <c r="A1810" s="12"/>
      <c r="B1810" s="2"/>
      <c r="C1810" s="2"/>
      <c r="D1810" s="2"/>
      <c r="E1810" s="2"/>
      <c r="F1810" s="2"/>
    </row>
    <row r="1811" spans="1:6" x14ac:dyDescent="0.3">
      <c r="A1811" s="12"/>
      <c r="B1811" s="2"/>
      <c r="C1811" s="2"/>
      <c r="D1811" s="2"/>
      <c r="E1811" s="2"/>
      <c r="F1811" s="2"/>
    </row>
    <row r="1812" spans="1:6" x14ac:dyDescent="0.3">
      <c r="A1812" s="12"/>
      <c r="B1812" s="2"/>
      <c r="C1812" s="2"/>
      <c r="D1812" s="2"/>
      <c r="E1812" s="2"/>
      <c r="F1812" s="2"/>
    </row>
    <row r="1813" spans="1:6" x14ac:dyDescent="0.3">
      <c r="A1813" s="12"/>
      <c r="B1813" s="2"/>
      <c r="C1813" s="2"/>
      <c r="D1813" s="2"/>
      <c r="E1813" s="2"/>
      <c r="F1813" s="2"/>
    </row>
    <row r="1814" spans="1:6" x14ac:dyDescent="0.3">
      <c r="A1814" s="12"/>
      <c r="B1814" s="2"/>
      <c r="C1814" s="2"/>
      <c r="D1814" s="2"/>
      <c r="E1814" s="2"/>
      <c r="F1814" s="2"/>
    </row>
    <row r="1815" spans="1:6" x14ac:dyDescent="0.3">
      <c r="A1815" s="12"/>
      <c r="B1815" s="2"/>
      <c r="C1815" s="2"/>
      <c r="D1815" s="2"/>
      <c r="E1815" s="2"/>
      <c r="F1815" s="2"/>
    </row>
    <row r="1816" spans="1:6" x14ac:dyDescent="0.3">
      <c r="A1816" s="12"/>
      <c r="B1816" s="2"/>
      <c r="C1816" s="2"/>
      <c r="D1816" s="2"/>
      <c r="E1816" s="2"/>
      <c r="F1816" s="2"/>
    </row>
    <row r="1817" spans="1:6" x14ac:dyDescent="0.3">
      <c r="A1817" s="12"/>
      <c r="B1817" s="2"/>
      <c r="C1817" s="2"/>
      <c r="D1817" s="2"/>
      <c r="E1817" s="2"/>
      <c r="F1817" s="2"/>
    </row>
    <row r="1818" spans="1:6" x14ac:dyDescent="0.3">
      <c r="A1818" s="12"/>
      <c r="B1818" s="2"/>
      <c r="C1818" s="2"/>
      <c r="D1818" s="2"/>
      <c r="E1818" s="2"/>
      <c r="F1818" s="2"/>
    </row>
    <row r="1819" spans="1:6" x14ac:dyDescent="0.3">
      <c r="A1819" s="12"/>
      <c r="B1819" s="2"/>
      <c r="C1819" s="2"/>
      <c r="D1819" s="2"/>
      <c r="E1819" s="2"/>
      <c r="F1819" s="2"/>
    </row>
    <row r="1820" spans="1:6" x14ac:dyDescent="0.3">
      <c r="A1820" s="12"/>
      <c r="B1820" s="2"/>
      <c r="C1820" s="2"/>
      <c r="D1820" s="2"/>
      <c r="E1820" s="2"/>
      <c r="F1820" s="2"/>
    </row>
    <row r="1821" spans="1:6" x14ac:dyDescent="0.3">
      <c r="A1821" s="12"/>
      <c r="B1821" s="2"/>
      <c r="C1821" s="2"/>
      <c r="D1821" s="2"/>
      <c r="E1821" s="2"/>
      <c r="F1821" s="2"/>
    </row>
    <row r="1822" spans="1:6" x14ac:dyDescent="0.3">
      <c r="A1822" s="12"/>
      <c r="B1822" s="2"/>
      <c r="C1822" s="2"/>
      <c r="D1822" s="2"/>
      <c r="E1822" s="2"/>
      <c r="F1822" s="2"/>
    </row>
    <row r="1823" spans="1:6" x14ac:dyDescent="0.3">
      <c r="A1823" s="12"/>
      <c r="B1823" s="2"/>
      <c r="C1823" s="2"/>
      <c r="D1823" s="2"/>
      <c r="E1823" s="2"/>
      <c r="F1823" s="2"/>
    </row>
    <row r="1824" spans="1:6" x14ac:dyDescent="0.3">
      <c r="A1824" s="12"/>
      <c r="B1824" s="2"/>
      <c r="C1824" s="2"/>
      <c r="D1824" s="2"/>
      <c r="E1824" s="2"/>
      <c r="F1824" s="2"/>
    </row>
    <row r="1825" spans="1:6" x14ac:dyDescent="0.3">
      <c r="A1825" s="12"/>
      <c r="B1825" s="2"/>
      <c r="C1825" s="2"/>
      <c r="D1825" s="2"/>
      <c r="E1825" s="2"/>
      <c r="F1825" s="2"/>
    </row>
    <row r="1826" spans="1:6" x14ac:dyDescent="0.3">
      <c r="A1826" s="12"/>
      <c r="B1826" s="2"/>
      <c r="C1826" s="2"/>
      <c r="D1826" s="2"/>
      <c r="E1826" s="2"/>
      <c r="F1826" s="2"/>
    </row>
    <row r="1827" spans="1:6" x14ac:dyDescent="0.3">
      <c r="A1827" s="12"/>
      <c r="B1827" s="2"/>
      <c r="C1827" s="2"/>
      <c r="D1827" s="2"/>
      <c r="E1827" s="2"/>
      <c r="F1827" s="2"/>
    </row>
    <row r="1828" spans="1:6" x14ac:dyDescent="0.3">
      <c r="A1828" s="12"/>
      <c r="B1828" s="2"/>
      <c r="C1828" s="2"/>
      <c r="D1828" s="2"/>
      <c r="E1828" s="2"/>
      <c r="F1828" s="2"/>
    </row>
    <row r="1829" spans="1:6" x14ac:dyDescent="0.3">
      <c r="A1829" s="12"/>
      <c r="B1829" s="2"/>
      <c r="C1829" s="2"/>
      <c r="D1829" s="2"/>
      <c r="E1829" s="2"/>
      <c r="F1829" s="2"/>
    </row>
    <row r="1830" spans="1:6" x14ac:dyDescent="0.3">
      <c r="A1830" s="12"/>
      <c r="B1830" s="2"/>
      <c r="C1830" s="2"/>
      <c r="D1830" s="2"/>
      <c r="E1830" s="2"/>
      <c r="F1830" s="2"/>
    </row>
    <row r="1831" spans="1:6" x14ac:dyDescent="0.3">
      <c r="A1831" s="12"/>
      <c r="B1831" s="2"/>
      <c r="C1831" s="2"/>
      <c r="D1831" s="2"/>
      <c r="E1831" s="2"/>
      <c r="F1831" s="2"/>
    </row>
    <row r="1832" spans="1:6" x14ac:dyDescent="0.3">
      <c r="A1832" s="12"/>
      <c r="B1832" s="2"/>
      <c r="C1832" s="2"/>
      <c r="D1832" s="2"/>
      <c r="E1832" s="2"/>
      <c r="F1832" s="2"/>
    </row>
    <row r="1833" spans="1:6" x14ac:dyDescent="0.3">
      <c r="A1833" s="12"/>
      <c r="B1833" s="2"/>
      <c r="C1833" s="2"/>
      <c r="D1833" s="2"/>
      <c r="E1833" s="2"/>
      <c r="F1833" s="2"/>
    </row>
    <row r="1834" spans="1:6" x14ac:dyDescent="0.3">
      <c r="A1834" s="12"/>
      <c r="B1834" s="2"/>
      <c r="C1834" s="2"/>
      <c r="D1834" s="2"/>
      <c r="E1834" s="2"/>
      <c r="F1834" s="2"/>
    </row>
    <row r="1835" spans="1:6" x14ac:dyDescent="0.3">
      <c r="A1835" s="12"/>
      <c r="B1835" s="2"/>
      <c r="C1835" s="2"/>
      <c r="D1835" s="2"/>
      <c r="E1835" s="2"/>
      <c r="F1835" s="2"/>
    </row>
    <row r="1836" spans="1:6" x14ac:dyDescent="0.3">
      <c r="A1836" s="12"/>
      <c r="B1836" s="2"/>
      <c r="C1836" s="2"/>
      <c r="D1836" s="2"/>
      <c r="E1836" s="2"/>
      <c r="F1836" s="2"/>
    </row>
    <row r="1837" spans="1:6" x14ac:dyDescent="0.3">
      <c r="A1837" s="12"/>
      <c r="B1837" s="2"/>
      <c r="C1837" s="2"/>
      <c r="D1837" s="2"/>
      <c r="E1837" s="2"/>
      <c r="F1837" s="2"/>
    </row>
    <row r="1838" spans="1:6" x14ac:dyDescent="0.3">
      <c r="A1838" s="12"/>
      <c r="B1838" s="2"/>
      <c r="C1838" s="2"/>
      <c r="D1838" s="2"/>
      <c r="E1838" s="2"/>
      <c r="F1838" s="2"/>
    </row>
    <row r="1839" spans="1:6" x14ac:dyDescent="0.3">
      <c r="A1839" s="12"/>
      <c r="B1839" s="2"/>
      <c r="C1839" s="2"/>
      <c r="D1839" s="2"/>
      <c r="E1839" s="2"/>
      <c r="F1839" s="2"/>
    </row>
    <row r="1840" spans="1:6" x14ac:dyDescent="0.3">
      <c r="A1840" s="12"/>
      <c r="B1840" s="2"/>
      <c r="C1840" s="2"/>
      <c r="D1840" s="2"/>
      <c r="E1840" s="2"/>
      <c r="F1840" s="2"/>
    </row>
    <row r="1841" spans="1:6" x14ac:dyDescent="0.3">
      <c r="A1841" s="12"/>
      <c r="B1841" s="2"/>
      <c r="C1841" s="2"/>
      <c r="D1841" s="2"/>
      <c r="E1841" s="2"/>
      <c r="F1841" s="2"/>
    </row>
    <row r="1842" spans="1:6" x14ac:dyDescent="0.3">
      <c r="A1842" s="12"/>
      <c r="B1842" s="2"/>
      <c r="C1842" s="2"/>
      <c r="D1842" s="2"/>
      <c r="E1842" s="2"/>
      <c r="F1842" s="2"/>
    </row>
    <row r="1843" spans="1:6" x14ac:dyDescent="0.3">
      <c r="A1843" s="12"/>
      <c r="B1843" s="2"/>
      <c r="C1843" s="2"/>
      <c r="D1843" s="2"/>
      <c r="E1843" s="2"/>
      <c r="F1843" s="2"/>
    </row>
    <row r="1844" spans="1:6" x14ac:dyDescent="0.3">
      <c r="A1844" s="12"/>
      <c r="B1844" s="2"/>
      <c r="C1844" s="2"/>
      <c r="D1844" s="2"/>
      <c r="E1844" s="2"/>
      <c r="F1844" s="2"/>
    </row>
    <row r="1845" spans="1:6" x14ac:dyDescent="0.3">
      <c r="A1845" s="12"/>
      <c r="B1845" s="2"/>
      <c r="C1845" s="2"/>
      <c r="D1845" s="2"/>
      <c r="E1845" s="2"/>
      <c r="F1845" s="2"/>
    </row>
    <row r="1846" spans="1:6" x14ac:dyDescent="0.3">
      <c r="A1846" s="12"/>
      <c r="B1846" s="2"/>
      <c r="C1846" s="2"/>
      <c r="D1846" s="2"/>
      <c r="E1846" s="2"/>
      <c r="F1846" s="2"/>
    </row>
    <row r="1847" spans="1:6" x14ac:dyDescent="0.3">
      <c r="A1847" s="12"/>
      <c r="B1847" s="2"/>
      <c r="C1847" s="2"/>
      <c r="D1847" s="2"/>
      <c r="E1847" s="2"/>
      <c r="F1847" s="2"/>
    </row>
    <row r="1848" spans="1:6" x14ac:dyDescent="0.3">
      <c r="A1848" s="12"/>
      <c r="B1848" s="2"/>
      <c r="C1848" s="2"/>
      <c r="D1848" s="2"/>
      <c r="E1848" s="2"/>
      <c r="F1848" s="2"/>
    </row>
    <row r="1849" spans="1:6" x14ac:dyDescent="0.3">
      <c r="A1849" s="12"/>
      <c r="B1849" s="2"/>
      <c r="C1849" s="2"/>
      <c r="D1849" s="2"/>
      <c r="E1849" s="2"/>
      <c r="F1849" s="2"/>
    </row>
    <row r="1850" spans="1:6" x14ac:dyDescent="0.3">
      <c r="A1850" s="12"/>
      <c r="B1850" s="2"/>
      <c r="C1850" s="2"/>
      <c r="D1850" s="2"/>
      <c r="E1850" s="2"/>
      <c r="F1850" s="2"/>
    </row>
    <row r="1851" spans="1:6" x14ac:dyDescent="0.3">
      <c r="A1851" s="12"/>
      <c r="B1851" s="2"/>
      <c r="C1851" s="2"/>
      <c r="D1851" s="2"/>
      <c r="E1851" s="2"/>
      <c r="F1851" s="2"/>
    </row>
    <row r="1852" spans="1:6" x14ac:dyDescent="0.3">
      <c r="A1852" s="12"/>
      <c r="B1852" s="2"/>
      <c r="C1852" s="2"/>
      <c r="D1852" s="2"/>
      <c r="E1852" s="2"/>
      <c r="F1852" s="2"/>
    </row>
    <row r="1853" spans="1:6" x14ac:dyDescent="0.3">
      <c r="A1853" s="12"/>
      <c r="B1853" s="2"/>
      <c r="C1853" s="2"/>
      <c r="D1853" s="2"/>
      <c r="E1853" s="2"/>
      <c r="F1853" s="2"/>
    </row>
    <row r="1854" spans="1:6" x14ac:dyDescent="0.3">
      <c r="A1854" s="12"/>
      <c r="B1854" s="2"/>
      <c r="C1854" s="2"/>
      <c r="D1854" s="2"/>
      <c r="E1854" s="2"/>
      <c r="F1854" s="2"/>
    </row>
    <row r="1855" spans="1:6" x14ac:dyDescent="0.3">
      <c r="A1855" s="12"/>
      <c r="B1855" s="2"/>
      <c r="C1855" s="2"/>
      <c r="D1855" s="2"/>
      <c r="E1855" s="2"/>
      <c r="F1855" s="2"/>
    </row>
    <row r="1856" spans="1:6" x14ac:dyDescent="0.3">
      <c r="A1856" s="12"/>
      <c r="B1856" s="2"/>
      <c r="C1856" s="2"/>
      <c r="D1856" s="2"/>
      <c r="E1856" s="2"/>
      <c r="F1856" s="2"/>
    </row>
    <row r="1857" spans="1:6" x14ac:dyDescent="0.3">
      <c r="A1857" s="12"/>
      <c r="B1857" s="2"/>
      <c r="C1857" s="2"/>
      <c r="D1857" s="2"/>
      <c r="E1857" s="2"/>
      <c r="F1857" s="2"/>
    </row>
    <row r="1858" spans="1:6" x14ac:dyDescent="0.3">
      <c r="A1858" s="12"/>
      <c r="B1858" s="2"/>
      <c r="C1858" s="2"/>
      <c r="D1858" s="2"/>
      <c r="E1858" s="2"/>
      <c r="F1858" s="2"/>
    </row>
    <row r="1859" spans="1:6" x14ac:dyDescent="0.3">
      <c r="A1859" s="12"/>
      <c r="B1859" s="2"/>
      <c r="C1859" s="2"/>
      <c r="D1859" s="2"/>
      <c r="E1859" s="2"/>
      <c r="F1859" s="2"/>
    </row>
    <row r="1860" spans="1:6" x14ac:dyDescent="0.3">
      <c r="A1860" s="12"/>
      <c r="B1860" s="2"/>
      <c r="C1860" s="2"/>
      <c r="D1860" s="2"/>
      <c r="E1860" s="2"/>
      <c r="F1860" s="2"/>
    </row>
    <row r="1861" spans="1:6" x14ac:dyDescent="0.3">
      <c r="A1861" s="12"/>
      <c r="B1861" s="2"/>
      <c r="C1861" s="2"/>
      <c r="D1861" s="2"/>
      <c r="E1861" s="2"/>
      <c r="F1861" s="2"/>
    </row>
    <row r="1862" spans="1:6" x14ac:dyDescent="0.3">
      <c r="A1862" s="12"/>
      <c r="B1862" s="2"/>
      <c r="C1862" s="2"/>
      <c r="D1862" s="2"/>
      <c r="E1862" s="2"/>
      <c r="F1862" s="2"/>
    </row>
    <row r="1863" spans="1:6" x14ac:dyDescent="0.3">
      <c r="A1863" s="12"/>
      <c r="B1863" s="2"/>
      <c r="C1863" s="2"/>
      <c r="D1863" s="2"/>
      <c r="E1863" s="2"/>
      <c r="F1863" s="2"/>
    </row>
    <row r="1864" spans="1:6" x14ac:dyDescent="0.3">
      <c r="A1864" s="12"/>
      <c r="B1864" s="2"/>
      <c r="C1864" s="2"/>
      <c r="D1864" s="2"/>
      <c r="E1864" s="2"/>
      <c r="F1864" s="2"/>
    </row>
    <row r="1865" spans="1:6" x14ac:dyDescent="0.3">
      <c r="A1865" s="12"/>
      <c r="B1865" s="2"/>
      <c r="C1865" s="2"/>
      <c r="D1865" s="2"/>
      <c r="E1865" s="2"/>
      <c r="F1865" s="2"/>
    </row>
    <row r="1866" spans="1:6" x14ac:dyDescent="0.3">
      <c r="A1866" s="12"/>
      <c r="B1866" s="2"/>
      <c r="C1866" s="2"/>
      <c r="D1866" s="2"/>
      <c r="E1866" s="2"/>
      <c r="F1866" s="2"/>
    </row>
    <row r="1867" spans="1:6" x14ac:dyDescent="0.3">
      <c r="A1867" s="12"/>
      <c r="B1867" s="2"/>
      <c r="C1867" s="2"/>
      <c r="D1867" s="2"/>
      <c r="E1867" s="2"/>
      <c r="F1867" s="2"/>
    </row>
    <row r="1868" spans="1:6" x14ac:dyDescent="0.3">
      <c r="A1868" s="12"/>
      <c r="B1868" s="2"/>
      <c r="C1868" s="2"/>
      <c r="D1868" s="2"/>
      <c r="E1868" s="2"/>
      <c r="F1868" s="2"/>
    </row>
    <row r="1869" spans="1:6" x14ac:dyDescent="0.3">
      <c r="A1869" s="12"/>
      <c r="B1869" s="2"/>
      <c r="C1869" s="2"/>
      <c r="D1869" s="2"/>
      <c r="E1869" s="2"/>
      <c r="F1869" s="2"/>
    </row>
    <row r="1870" spans="1:6" x14ac:dyDescent="0.3">
      <c r="A1870" s="12"/>
      <c r="B1870" s="2"/>
      <c r="C1870" s="2"/>
      <c r="D1870" s="2"/>
      <c r="E1870" s="2"/>
      <c r="F1870" s="2"/>
    </row>
    <row r="1871" spans="1:6" x14ac:dyDescent="0.3">
      <c r="A1871" s="12"/>
      <c r="B1871" s="2"/>
      <c r="C1871" s="2"/>
      <c r="D1871" s="2"/>
      <c r="E1871" s="2"/>
      <c r="F1871" s="2"/>
    </row>
    <row r="1872" spans="1:6" x14ac:dyDescent="0.3">
      <c r="A1872" s="12"/>
      <c r="B1872" s="2"/>
      <c r="C1872" s="2"/>
      <c r="D1872" s="2"/>
      <c r="E1872" s="2"/>
      <c r="F1872" s="2"/>
    </row>
    <row r="1873" spans="1:6" x14ac:dyDescent="0.3">
      <c r="A1873" s="12"/>
      <c r="B1873" s="2"/>
      <c r="C1873" s="2"/>
      <c r="D1873" s="2"/>
      <c r="E1873" s="2"/>
      <c r="F1873" s="2"/>
    </row>
    <row r="1874" spans="1:6" x14ac:dyDescent="0.3">
      <c r="A1874" s="12"/>
      <c r="B1874" s="2"/>
      <c r="C1874" s="2"/>
      <c r="D1874" s="2"/>
      <c r="E1874" s="2"/>
      <c r="F1874" s="2"/>
    </row>
    <row r="1875" spans="1:6" x14ac:dyDescent="0.3">
      <c r="A1875" s="12"/>
      <c r="B1875" s="2"/>
      <c r="C1875" s="2"/>
      <c r="D1875" s="2"/>
      <c r="E1875" s="2"/>
      <c r="F1875" s="2"/>
    </row>
    <row r="1876" spans="1:6" x14ac:dyDescent="0.3">
      <c r="A1876" s="12"/>
      <c r="B1876" s="2"/>
      <c r="C1876" s="2"/>
      <c r="D1876" s="2"/>
      <c r="E1876" s="2"/>
      <c r="F1876" s="2"/>
    </row>
    <row r="1877" spans="1:6" x14ac:dyDescent="0.3">
      <c r="A1877" s="12"/>
      <c r="B1877" s="2"/>
      <c r="C1877" s="2"/>
      <c r="D1877" s="2"/>
      <c r="E1877" s="2"/>
      <c r="F1877" s="2"/>
    </row>
    <row r="1878" spans="1:6" x14ac:dyDescent="0.3">
      <c r="A1878" s="12"/>
      <c r="B1878" s="2"/>
      <c r="C1878" s="2"/>
      <c r="D1878" s="2"/>
      <c r="E1878" s="2"/>
      <c r="F1878" s="2"/>
    </row>
    <row r="1879" spans="1:6" x14ac:dyDescent="0.3">
      <c r="A1879" s="12"/>
      <c r="B1879" s="2"/>
      <c r="C1879" s="2"/>
      <c r="D1879" s="2"/>
      <c r="E1879" s="2"/>
      <c r="F1879" s="2"/>
    </row>
    <row r="1880" spans="1:6" x14ac:dyDescent="0.3">
      <c r="A1880" s="12"/>
      <c r="B1880" s="2"/>
      <c r="C1880" s="2"/>
      <c r="D1880" s="2"/>
      <c r="E1880" s="2"/>
      <c r="F1880" s="2"/>
    </row>
    <row r="1881" spans="1:6" x14ac:dyDescent="0.3">
      <c r="A1881" s="12"/>
      <c r="B1881" s="2"/>
      <c r="C1881" s="2"/>
      <c r="D1881" s="2"/>
      <c r="E1881" s="2"/>
      <c r="F1881" s="2"/>
    </row>
    <row r="1882" spans="1:6" x14ac:dyDescent="0.3">
      <c r="A1882" s="12"/>
      <c r="B1882" s="2"/>
      <c r="C1882" s="2"/>
      <c r="D1882" s="2"/>
      <c r="E1882" s="2"/>
      <c r="F1882" s="2"/>
    </row>
    <row r="1883" spans="1:6" x14ac:dyDescent="0.3">
      <c r="A1883" s="12"/>
      <c r="B1883" s="2"/>
      <c r="C1883" s="2"/>
      <c r="D1883" s="2"/>
      <c r="E1883" s="2"/>
      <c r="F1883" s="2"/>
    </row>
    <row r="1884" spans="1:6" x14ac:dyDescent="0.3">
      <c r="A1884" s="12"/>
      <c r="B1884" s="2"/>
      <c r="C1884" s="2"/>
      <c r="D1884" s="2"/>
      <c r="E1884" s="2"/>
      <c r="F1884" s="2"/>
    </row>
    <row r="1885" spans="1:6" x14ac:dyDescent="0.3">
      <c r="A1885" s="12"/>
      <c r="B1885" s="2"/>
      <c r="C1885" s="2"/>
      <c r="D1885" s="2"/>
      <c r="E1885" s="2"/>
      <c r="F1885" s="2"/>
    </row>
    <row r="1886" spans="1:6" x14ac:dyDescent="0.3">
      <c r="A1886" s="12"/>
      <c r="B1886" s="2"/>
      <c r="C1886" s="2"/>
      <c r="D1886" s="2"/>
      <c r="E1886" s="2"/>
      <c r="F1886" s="2"/>
    </row>
    <row r="1887" spans="1:6" x14ac:dyDescent="0.3">
      <c r="A1887" s="12"/>
      <c r="B1887" s="2"/>
      <c r="C1887" s="2"/>
      <c r="D1887" s="2"/>
      <c r="E1887" s="2"/>
      <c r="F1887" s="2"/>
    </row>
    <row r="1888" spans="1:6" x14ac:dyDescent="0.3">
      <c r="A1888" s="12"/>
      <c r="B1888" s="2"/>
      <c r="C1888" s="2"/>
      <c r="D1888" s="2"/>
      <c r="E1888" s="2"/>
      <c r="F1888" s="2"/>
    </row>
    <row r="1889" spans="1:6" x14ac:dyDescent="0.3">
      <c r="A1889" s="12"/>
      <c r="B1889" s="2"/>
      <c r="C1889" s="2"/>
      <c r="D1889" s="2"/>
      <c r="E1889" s="2"/>
      <c r="F1889" s="2"/>
    </row>
    <row r="1890" spans="1:6" x14ac:dyDescent="0.3">
      <c r="A1890" s="12"/>
      <c r="B1890" s="2"/>
      <c r="C1890" s="2"/>
      <c r="D1890" s="2"/>
      <c r="E1890" s="2"/>
      <c r="F1890" s="2"/>
    </row>
    <row r="1891" spans="1:6" x14ac:dyDescent="0.3">
      <c r="A1891" s="12"/>
      <c r="B1891" s="2"/>
      <c r="C1891" s="2"/>
      <c r="D1891" s="2"/>
      <c r="E1891" s="2"/>
      <c r="F1891" s="2"/>
    </row>
    <row r="1892" spans="1:6" x14ac:dyDescent="0.3">
      <c r="A1892" s="12"/>
      <c r="B1892" s="2"/>
      <c r="C1892" s="2"/>
      <c r="D1892" s="2"/>
      <c r="E1892" s="2"/>
      <c r="F1892" s="2"/>
    </row>
    <row r="1893" spans="1:6" x14ac:dyDescent="0.3">
      <c r="A1893" s="12"/>
      <c r="B1893" s="2"/>
      <c r="C1893" s="2"/>
      <c r="D1893" s="2"/>
      <c r="E1893" s="2"/>
      <c r="F1893" s="2"/>
    </row>
    <row r="1894" spans="1:6" x14ac:dyDescent="0.3">
      <c r="A1894" s="12"/>
      <c r="B1894" s="2"/>
      <c r="C1894" s="2"/>
      <c r="D1894" s="2"/>
      <c r="E1894" s="2"/>
      <c r="F1894" s="2"/>
    </row>
    <row r="1895" spans="1:6" x14ac:dyDescent="0.3">
      <c r="A1895" s="12"/>
      <c r="B1895" s="2"/>
      <c r="C1895" s="2"/>
      <c r="D1895" s="2"/>
      <c r="E1895" s="2"/>
      <c r="F1895" s="2"/>
    </row>
    <row r="1896" spans="1:6" x14ac:dyDescent="0.3">
      <c r="A1896" s="12"/>
      <c r="B1896" s="2"/>
      <c r="C1896" s="2"/>
      <c r="D1896" s="2"/>
      <c r="E1896" s="2"/>
      <c r="F1896" s="2"/>
    </row>
    <row r="1897" spans="1:6" x14ac:dyDescent="0.3">
      <c r="A1897" s="12"/>
      <c r="B1897" s="2"/>
      <c r="C1897" s="2"/>
      <c r="D1897" s="2"/>
      <c r="E1897" s="2"/>
      <c r="F1897" s="2"/>
    </row>
    <row r="1898" spans="1:6" x14ac:dyDescent="0.3">
      <c r="A1898" s="12"/>
      <c r="B1898" s="2"/>
      <c r="C1898" s="2"/>
      <c r="D1898" s="2"/>
      <c r="E1898" s="2"/>
      <c r="F1898" s="2"/>
    </row>
    <row r="1899" spans="1:6" x14ac:dyDescent="0.3">
      <c r="A1899" s="12"/>
      <c r="B1899" s="2"/>
      <c r="C1899" s="2"/>
      <c r="D1899" s="2"/>
      <c r="E1899" s="2"/>
      <c r="F1899" s="2"/>
    </row>
    <row r="1900" spans="1:6" x14ac:dyDescent="0.3">
      <c r="A1900" s="12"/>
      <c r="B1900" s="2"/>
      <c r="C1900" s="2"/>
      <c r="D1900" s="2"/>
      <c r="E1900" s="2"/>
      <c r="F1900" s="2"/>
    </row>
    <row r="1901" spans="1:6" x14ac:dyDescent="0.3">
      <c r="A1901" s="12"/>
      <c r="B1901" s="2"/>
      <c r="C1901" s="2"/>
      <c r="D1901" s="2"/>
      <c r="E1901" s="2"/>
      <c r="F1901" s="2"/>
    </row>
    <row r="1902" spans="1:6" x14ac:dyDescent="0.3">
      <c r="A1902" s="12"/>
      <c r="B1902" s="2"/>
      <c r="C1902" s="2"/>
      <c r="D1902" s="2"/>
      <c r="E1902" s="2"/>
      <c r="F1902" s="2"/>
    </row>
    <row r="1903" spans="1:6" x14ac:dyDescent="0.3">
      <c r="A1903" s="12"/>
      <c r="B1903" s="2"/>
      <c r="C1903" s="2"/>
      <c r="D1903" s="2"/>
      <c r="E1903" s="2"/>
      <c r="F1903" s="2"/>
    </row>
    <row r="1904" spans="1:6" x14ac:dyDescent="0.3">
      <c r="A1904" s="12"/>
      <c r="B1904" s="2"/>
      <c r="C1904" s="2"/>
      <c r="D1904" s="2"/>
      <c r="E1904" s="2"/>
      <c r="F1904" s="2"/>
    </row>
    <row r="1905" spans="1:6" x14ac:dyDescent="0.3">
      <c r="A1905" s="12"/>
      <c r="B1905" s="2"/>
      <c r="C1905" s="2"/>
      <c r="D1905" s="2"/>
      <c r="E1905" s="2"/>
      <c r="F1905" s="2"/>
    </row>
    <row r="1906" spans="1:6" x14ac:dyDescent="0.3">
      <c r="A1906" s="12"/>
      <c r="B1906" s="2"/>
      <c r="C1906" s="2"/>
      <c r="D1906" s="2"/>
      <c r="E1906" s="2"/>
      <c r="F1906" s="2"/>
    </row>
    <row r="1907" spans="1:6" x14ac:dyDescent="0.3">
      <c r="A1907" s="12"/>
      <c r="B1907" s="2"/>
      <c r="C1907" s="2"/>
      <c r="D1907" s="2"/>
      <c r="E1907" s="2"/>
      <c r="F1907" s="2"/>
    </row>
    <row r="1908" spans="1:6" x14ac:dyDescent="0.3">
      <c r="A1908" s="12"/>
      <c r="B1908" s="2"/>
      <c r="C1908" s="2"/>
      <c r="D1908" s="2"/>
      <c r="E1908" s="2"/>
      <c r="F1908" s="2"/>
    </row>
    <row r="1909" spans="1:6" x14ac:dyDescent="0.3">
      <c r="A1909" s="12"/>
      <c r="B1909" s="2"/>
      <c r="C1909" s="2"/>
      <c r="D1909" s="2"/>
      <c r="E1909" s="2"/>
      <c r="F1909" s="2"/>
    </row>
    <row r="1910" spans="1:6" x14ac:dyDescent="0.3">
      <c r="A1910" s="12"/>
      <c r="B1910" s="2"/>
      <c r="C1910" s="2"/>
      <c r="D1910" s="2"/>
      <c r="E1910" s="2"/>
      <c r="F1910" s="2"/>
    </row>
    <row r="1911" spans="1:6" x14ac:dyDescent="0.3">
      <c r="A1911" s="12"/>
      <c r="B1911" s="2"/>
      <c r="C1911" s="2"/>
      <c r="D1911" s="2"/>
      <c r="E1911" s="2"/>
      <c r="F1911" s="2"/>
    </row>
    <row r="1912" spans="1:6" x14ac:dyDescent="0.3">
      <c r="A1912" s="12"/>
      <c r="B1912" s="2"/>
      <c r="C1912" s="2"/>
      <c r="D1912" s="2"/>
      <c r="E1912" s="2"/>
      <c r="F1912" s="2"/>
    </row>
    <row r="1913" spans="1:6" x14ac:dyDescent="0.3">
      <c r="A1913" s="12"/>
      <c r="B1913" s="2"/>
      <c r="C1913" s="2"/>
      <c r="D1913" s="2"/>
      <c r="E1913" s="2"/>
      <c r="F1913" s="2"/>
    </row>
    <row r="1914" spans="1:6" x14ac:dyDescent="0.3">
      <c r="A1914" s="12"/>
      <c r="B1914" s="2"/>
      <c r="C1914" s="2"/>
      <c r="D1914" s="2"/>
      <c r="E1914" s="2"/>
      <c r="F1914" s="2"/>
    </row>
    <row r="1915" spans="1:6" x14ac:dyDescent="0.3">
      <c r="A1915" s="12"/>
      <c r="B1915" s="2"/>
      <c r="C1915" s="2"/>
      <c r="D1915" s="2"/>
      <c r="E1915" s="2"/>
      <c r="F1915" s="2"/>
    </row>
    <row r="1916" spans="1:6" x14ac:dyDescent="0.3">
      <c r="A1916" s="12"/>
      <c r="B1916" s="2"/>
      <c r="C1916" s="2"/>
      <c r="D1916" s="2"/>
      <c r="E1916" s="2"/>
      <c r="F1916" s="2"/>
    </row>
    <row r="1917" spans="1:6" x14ac:dyDescent="0.3">
      <c r="A1917" s="12"/>
      <c r="B1917" s="2"/>
      <c r="C1917" s="2"/>
      <c r="D1917" s="2"/>
      <c r="E1917" s="2"/>
      <c r="F1917" s="2"/>
    </row>
    <row r="1918" spans="1:6" x14ac:dyDescent="0.3">
      <c r="A1918" s="12"/>
      <c r="B1918" s="2"/>
      <c r="C1918" s="2"/>
      <c r="D1918" s="2"/>
      <c r="E1918" s="2"/>
      <c r="F1918" s="2"/>
    </row>
    <row r="1919" spans="1:6" x14ac:dyDescent="0.3">
      <c r="A1919" s="12"/>
      <c r="B1919" s="2"/>
      <c r="C1919" s="2"/>
      <c r="D1919" s="2"/>
      <c r="E1919" s="2"/>
      <c r="F1919" s="2"/>
    </row>
    <row r="1920" spans="1:6" x14ac:dyDescent="0.3">
      <c r="A1920" s="12"/>
      <c r="B1920" s="2"/>
      <c r="C1920" s="2"/>
      <c r="D1920" s="2"/>
      <c r="E1920" s="2"/>
      <c r="F1920" s="2"/>
    </row>
    <row r="1921" spans="1:6" x14ac:dyDescent="0.3">
      <c r="A1921" s="12"/>
      <c r="B1921" s="2"/>
      <c r="C1921" s="2"/>
      <c r="D1921" s="2"/>
      <c r="E1921" s="2"/>
      <c r="F1921" s="2"/>
    </row>
    <row r="1922" spans="1:6" x14ac:dyDescent="0.3">
      <c r="A1922" s="12"/>
      <c r="B1922" s="2"/>
      <c r="C1922" s="2"/>
      <c r="D1922" s="2"/>
      <c r="E1922" s="2"/>
      <c r="F1922" s="2"/>
    </row>
    <row r="1923" spans="1:6" x14ac:dyDescent="0.3">
      <c r="A1923" s="12"/>
      <c r="B1923" s="2"/>
      <c r="C1923" s="2"/>
      <c r="D1923" s="2"/>
      <c r="E1923" s="2"/>
      <c r="F1923" s="2"/>
    </row>
    <row r="1924" spans="1:6" x14ac:dyDescent="0.3">
      <c r="A1924" s="12"/>
      <c r="B1924" s="2"/>
      <c r="C1924" s="2"/>
      <c r="D1924" s="2"/>
      <c r="E1924" s="2"/>
      <c r="F1924" s="2"/>
    </row>
    <row r="1925" spans="1:6" x14ac:dyDescent="0.3">
      <c r="A1925" s="12"/>
      <c r="B1925" s="2"/>
      <c r="C1925" s="2"/>
      <c r="D1925" s="2"/>
      <c r="E1925" s="2"/>
      <c r="F1925" s="2"/>
    </row>
    <row r="1926" spans="1:6" x14ac:dyDescent="0.3">
      <c r="A1926" s="12"/>
      <c r="B1926" s="2"/>
      <c r="C1926" s="2"/>
      <c r="D1926" s="2"/>
      <c r="E1926" s="2"/>
      <c r="F1926" s="2"/>
    </row>
    <row r="1927" spans="1:6" x14ac:dyDescent="0.3">
      <c r="A1927" s="12"/>
      <c r="B1927" s="2"/>
      <c r="C1927" s="2"/>
      <c r="D1927" s="2"/>
      <c r="E1927" s="2"/>
      <c r="F1927" s="2"/>
    </row>
    <row r="1928" spans="1:6" x14ac:dyDescent="0.3">
      <c r="A1928" s="12"/>
      <c r="B1928" s="2"/>
      <c r="C1928" s="2"/>
      <c r="D1928" s="2"/>
      <c r="E1928" s="2"/>
      <c r="F1928" s="2"/>
    </row>
    <row r="1929" spans="1:6" x14ac:dyDescent="0.3">
      <c r="A1929" s="12"/>
      <c r="B1929" s="2"/>
      <c r="C1929" s="2"/>
      <c r="D1929" s="2"/>
      <c r="E1929" s="2"/>
      <c r="F1929" s="2"/>
    </row>
    <row r="1930" spans="1:6" x14ac:dyDescent="0.3">
      <c r="A1930" s="12"/>
      <c r="B1930" s="2"/>
      <c r="C1930" s="2"/>
      <c r="D1930" s="2"/>
      <c r="E1930" s="2"/>
      <c r="F1930" s="2"/>
    </row>
    <row r="1931" spans="1:6" x14ac:dyDescent="0.3">
      <c r="A1931" s="12"/>
      <c r="B1931" s="2"/>
      <c r="C1931" s="2"/>
      <c r="D1931" s="2"/>
      <c r="E1931" s="2"/>
      <c r="F1931" s="2"/>
    </row>
    <row r="1932" spans="1:6" x14ac:dyDescent="0.3">
      <c r="A1932" s="12"/>
      <c r="B1932" s="2"/>
      <c r="C1932" s="2"/>
      <c r="D1932" s="2"/>
      <c r="E1932" s="2"/>
      <c r="F1932" s="2"/>
    </row>
    <row r="1933" spans="1:6" x14ac:dyDescent="0.3">
      <c r="A1933" s="12"/>
      <c r="B1933" s="2"/>
      <c r="C1933" s="2"/>
      <c r="D1933" s="2"/>
      <c r="E1933" s="2"/>
      <c r="F1933" s="2"/>
    </row>
    <row r="1934" spans="1:6" x14ac:dyDescent="0.3">
      <c r="A1934" s="12"/>
      <c r="B1934" s="2"/>
      <c r="C1934" s="2"/>
      <c r="D1934" s="2"/>
      <c r="E1934" s="2"/>
      <c r="F1934" s="2"/>
    </row>
    <row r="1935" spans="1:6" x14ac:dyDescent="0.3">
      <c r="A1935" s="12"/>
      <c r="B1935" s="2"/>
      <c r="C1935" s="2"/>
      <c r="D1935" s="2"/>
      <c r="E1935" s="2"/>
      <c r="F1935" s="2"/>
    </row>
    <row r="1936" spans="1:6" x14ac:dyDescent="0.3">
      <c r="A1936" s="12"/>
      <c r="B1936" s="2"/>
      <c r="C1936" s="2"/>
      <c r="D1936" s="2"/>
      <c r="E1936" s="2"/>
      <c r="F1936" s="2"/>
    </row>
    <row r="1937" spans="1:6" x14ac:dyDescent="0.3">
      <c r="A1937" s="12"/>
      <c r="B1937" s="2"/>
      <c r="C1937" s="2"/>
      <c r="D1937" s="2"/>
      <c r="E1937" s="2"/>
      <c r="F1937" s="2"/>
    </row>
    <row r="1938" spans="1:6" x14ac:dyDescent="0.3">
      <c r="A1938" s="12"/>
      <c r="B1938" s="2"/>
      <c r="C1938" s="2"/>
      <c r="D1938" s="2"/>
      <c r="E1938" s="2"/>
      <c r="F1938" s="2"/>
    </row>
    <row r="1939" spans="1:6" x14ac:dyDescent="0.3">
      <c r="A1939" s="12"/>
      <c r="B1939" s="2"/>
      <c r="C1939" s="2"/>
      <c r="D1939" s="2"/>
      <c r="E1939" s="2"/>
      <c r="F1939" s="2"/>
    </row>
    <row r="1940" spans="1:6" x14ac:dyDescent="0.3">
      <c r="A1940" s="12"/>
      <c r="B1940" s="2"/>
      <c r="C1940" s="2"/>
      <c r="D1940" s="2"/>
      <c r="E1940" s="2"/>
      <c r="F1940" s="2"/>
    </row>
    <row r="1941" spans="1:6" x14ac:dyDescent="0.3">
      <c r="A1941" s="12"/>
      <c r="B1941" s="2"/>
      <c r="C1941" s="2"/>
      <c r="D1941" s="2"/>
      <c r="E1941" s="2"/>
      <c r="F1941" s="2"/>
    </row>
    <row r="1942" spans="1:6" x14ac:dyDescent="0.3">
      <c r="A1942" s="12"/>
      <c r="B1942" s="2"/>
      <c r="C1942" s="2"/>
      <c r="D1942" s="2"/>
      <c r="E1942" s="2"/>
      <c r="F1942" s="2"/>
    </row>
    <row r="1943" spans="1:6" x14ac:dyDescent="0.3">
      <c r="A1943" s="12"/>
      <c r="B1943" s="2"/>
      <c r="C1943" s="2"/>
      <c r="D1943" s="2"/>
      <c r="E1943" s="2"/>
      <c r="F1943" s="2"/>
    </row>
    <row r="1944" spans="1:6" x14ac:dyDescent="0.3">
      <c r="A1944" s="12"/>
      <c r="B1944" s="2"/>
      <c r="C1944" s="2"/>
      <c r="D1944" s="2"/>
      <c r="E1944" s="2"/>
      <c r="F1944" s="2"/>
    </row>
    <row r="1945" spans="1:6" x14ac:dyDescent="0.3">
      <c r="A1945" s="12"/>
      <c r="B1945" s="2"/>
      <c r="C1945" s="2"/>
      <c r="D1945" s="2"/>
      <c r="E1945" s="2"/>
      <c r="F1945" s="2"/>
    </row>
    <row r="1946" spans="1:6" x14ac:dyDescent="0.3">
      <c r="A1946" s="12"/>
      <c r="B1946" s="2"/>
      <c r="C1946" s="2"/>
      <c r="D1946" s="2"/>
      <c r="E1946" s="2"/>
      <c r="F1946" s="2"/>
    </row>
    <row r="1947" spans="1:6" x14ac:dyDescent="0.3">
      <c r="A1947" s="12"/>
      <c r="B1947" s="2"/>
      <c r="C1947" s="2"/>
      <c r="D1947" s="2"/>
      <c r="E1947" s="2"/>
      <c r="F1947" s="2"/>
    </row>
    <row r="1948" spans="1:6" x14ac:dyDescent="0.3">
      <c r="A1948" s="12"/>
      <c r="B1948" s="2"/>
      <c r="C1948" s="2"/>
      <c r="D1948" s="2"/>
      <c r="E1948" s="2"/>
      <c r="F1948" s="2"/>
    </row>
    <row r="1949" spans="1:6" x14ac:dyDescent="0.3">
      <c r="A1949" s="12"/>
      <c r="B1949" s="2"/>
      <c r="C1949" s="2"/>
      <c r="D1949" s="2"/>
      <c r="E1949" s="2"/>
      <c r="F1949" s="2"/>
    </row>
    <row r="1950" spans="1:6" x14ac:dyDescent="0.3">
      <c r="A1950" s="12"/>
      <c r="B1950" s="2"/>
      <c r="C1950" s="2"/>
      <c r="D1950" s="2"/>
      <c r="E1950" s="2"/>
      <c r="F1950" s="2"/>
    </row>
    <row r="1951" spans="1:6" x14ac:dyDescent="0.3">
      <c r="A1951" s="12"/>
      <c r="B1951" s="2"/>
      <c r="C1951" s="2"/>
      <c r="D1951" s="2"/>
      <c r="E1951" s="2"/>
      <c r="F1951" s="2"/>
    </row>
    <row r="1952" spans="1:6" x14ac:dyDescent="0.3">
      <c r="A1952" s="12"/>
      <c r="B1952" s="2"/>
      <c r="C1952" s="2"/>
      <c r="D1952" s="2"/>
      <c r="E1952" s="2"/>
      <c r="F1952" s="2"/>
    </row>
    <row r="1953" spans="1:6" x14ac:dyDescent="0.3">
      <c r="A1953" s="12"/>
      <c r="B1953" s="2"/>
      <c r="C1953" s="2"/>
      <c r="D1953" s="2"/>
      <c r="E1953" s="2"/>
      <c r="F1953" s="2"/>
    </row>
    <row r="1954" spans="1:6" x14ac:dyDescent="0.3">
      <c r="A1954" s="12"/>
      <c r="B1954" s="2"/>
      <c r="C1954" s="2"/>
      <c r="D1954" s="2"/>
      <c r="E1954" s="2"/>
      <c r="F1954" s="2"/>
    </row>
    <row r="1955" spans="1:6" x14ac:dyDescent="0.3">
      <c r="A1955" s="12"/>
      <c r="B1955" s="2"/>
      <c r="C1955" s="2"/>
      <c r="D1955" s="2"/>
      <c r="E1955" s="2"/>
      <c r="F1955" s="2"/>
    </row>
    <row r="1956" spans="1:6" x14ac:dyDescent="0.3">
      <c r="A1956" s="12"/>
      <c r="B1956" s="2"/>
      <c r="C1956" s="2"/>
      <c r="D1956" s="2"/>
      <c r="E1956" s="2"/>
      <c r="F1956" s="2"/>
    </row>
    <row r="1957" spans="1:6" x14ac:dyDescent="0.3">
      <c r="A1957" s="12"/>
      <c r="B1957" s="2"/>
      <c r="C1957" s="2"/>
      <c r="D1957" s="2"/>
      <c r="E1957" s="2"/>
      <c r="F1957" s="2"/>
    </row>
    <row r="1958" spans="1:6" x14ac:dyDescent="0.3">
      <c r="A1958" s="12"/>
      <c r="B1958" s="2"/>
      <c r="C1958" s="2"/>
      <c r="D1958" s="2"/>
      <c r="E1958" s="2"/>
      <c r="F1958" s="2"/>
    </row>
    <row r="1959" spans="1:6" x14ac:dyDescent="0.3">
      <c r="A1959" s="12"/>
      <c r="B1959" s="2"/>
      <c r="C1959" s="2"/>
      <c r="D1959" s="2"/>
      <c r="E1959" s="2"/>
      <c r="F1959" s="2"/>
    </row>
    <row r="1960" spans="1:6" x14ac:dyDescent="0.3">
      <c r="A1960" s="12"/>
      <c r="B1960" s="2"/>
      <c r="C1960" s="2"/>
      <c r="D1960" s="2"/>
      <c r="E1960" s="2"/>
      <c r="F1960" s="2"/>
    </row>
    <row r="1961" spans="1:6" x14ac:dyDescent="0.3">
      <c r="A1961" s="12"/>
      <c r="B1961" s="2"/>
      <c r="C1961" s="2"/>
      <c r="D1961" s="2"/>
      <c r="E1961" s="2"/>
      <c r="F1961" s="2"/>
    </row>
    <row r="1962" spans="1:6" x14ac:dyDescent="0.3">
      <c r="A1962" s="12"/>
      <c r="B1962" s="2"/>
      <c r="C1962" s="2"/>
      <c r="D1962" s="2"/>
      <c r="E1962" s="2"/>
      <c r="F1962" s="2"/>
    </row>
    <row r="1963" spans="1:6" x14ac:dyDescent="0.3">
      <c r="A1963" s="12"/>
      <c r="B1963" s="2"/>
      <c r="C1963" s="2"/>
      <c r="D1963" s="2"/>
      <c r="E1963" s="2"/>
      <c r="F1963" s="2"/>
    </row>
    <row r="1964" spans="1:6" x14ac:dyDescent="0.3">
      <c r="A1964" s="12"/>
      <c r="B1964" s="2"/>
      <c r="C1964" s="2"/>
      <c r="D1964" s="2"/>
      <c r="E1964" s="2"/>
      <c r="F1964" s="2"/>
    </row>
    <row r="1965" spans="1:6" x14ac:dyDescent="0.3">
      <c r="A1965" s="12"/>
      <c r="B1965" s="2"/>
      <c r="C1965" s="2"/>
      <c r="D1965" s="2"/>
      <c r="E1965" s="2"/>
      <c r="F1965" s="2"/>
    </row>
    <row r="1966" spans="1:6" x14ac:dyDescent="0.3">
      <c r="A1966" s="12"/>
      <c r="B1966" s="2"/>
      <c r="C1966" s="2"/>
      <c r="D1966" s="2"/>
      <c r="E1966" s="2"/>
      <c r="F1966" s="2"/>
    </row>
    <row r="1967" spans="1:6" x14ac:dyDescent="0.3">
      <c r="A1967" s="12"/>
      <c r="B1967" s="2"/>
      <c r="C1967" s="2"/>
      <c r="D1967" s="2"/>
      <c r="E1967" s="2"/>
      <c r="F1967" s="2"/>
    </row>
    <row r="1968" spans="1:6" x14ac:dyDescent="0.3">
      <c r="A1968" s="12"/>
      <c r="B1968" s="2"/>
      <c r="C1968" s="2"/>
      <c r="D1968" s="2"/>
      <c r="E1968" s="2"/>
      <c r="F1968" s="2"/>
    </row>
    <row r="1969" spans="1:6" x14ac:dyDescent="0.3">
      <c r="A1969" s="12"/>
      <c r="B1969" s="2"/>
      <c r="C1969" s="2"/>
      <c r="D1969" s="2"/>
      <c r="E1969" s="2"/>
      <c r="F1969" s="2"/>
    </row>
    <row r="1970" spans="1:6" x14ac:dyDescent="0.3">
      <c r="A1970" s="12"/>
      <c r="B1970" s="2"/>
      <c r="C1970" s="2"/>
      <c r="D1970" s="2"/>
      <c r="E1970" s="2"/>
      <c r="F1970" s="2"/>
    </row>
    <row r="1971" spans="1:6" x14ac:dyDescent="0.3">
      <c r="A1971" s="12"/>
      <c r="B1971" s="2"/>
      <c r="C1971" s="2"/>
      <c r="D1971" s="2"/>
      <c r="E1971" s="2"/>
      <c r="F1971" s="2"/>
    </row>
    <row r="1972" spans="1:6" x14ac:dyDescent="0.3">
      <c r="A1972" s="12"/>
      <c r="B1972" s="2"/>
      <c r="C1972" s="2"/>
      <c r="D1972" s="2"/>
      <c r="E1972" s="2"/>
      <c r="F1972" s="2"/>
    </row>
    <row r="1973" spans="1:6" x14ac:dyDescent="0.3">
      <c r="A1973" s="12"/>
      <c r="B1973" s="2"/>
      <c r="C1973" s="2"/>
      <c r="D1973" s="2"/>
      <c r="E1973" s="2"/>
      <c r="F1973" s="2"/>
    </row>
    <row r="1974" spans="1:6" x14ac:dyDescent="0.3">
      <c r="A1974" s="12"/>
      <c r="B1974" s="2"/>
      <c r="C1974" s="2"/>
      <c r="D1974" s="2"/>
      <c r="E1974" s="2"/>
      <c r="F1974" s="2"/>
    </row>
    <row r="1975" spans="1:6" x14ac:dyDescent="0.3">
      <c r="A1975" s="12"/>
      <c r="B1975" s="2"/>
      <c r="C1975" s="2"/>
      <c r="D1975" s="2"/>
      <c r="E1975" s="2"/>
      <c r="F1975" s="2"/>
    </row>
    <row r="1976" spans="1:6" x14ac:dyDescent="0.3">
      <c r="A1976" s="12"/>
      <c r="B1976" s="2"/>
      <c r="C1976" s="2"/>
      <c r="D1976" s="2"/>
      <c r="E1976" s="2"/>
      <c r="F1976" s="2"/>
    </row>
    <row r="1977" spans="1:6" x14ac:dyDescent="0.3">
      <c r="A1977" s="12"/>
      <c r="B1977" s="2"/>
      <c r="C1977" s="2"/>
      <c r="D1977" s="2"/>
      <c r="E1977" s="2"/>
      <c r="F1977" s="2"/>
    </row>
    <row r="1978" spans="1:6" x14ac:dyDescent="0.3">
      <c r="A1978" s="12"/>
      <c r="B1978" s="2"/>
      <c r="C1978" s="2"/>
      <c r="D1978" s="2"/>
      <c r="E1978" s="2"/>
      <c r="F1978" s="2"/>
    </row>
    <row r="1979" spans="1:6" x14ac:dyDescent="0.3">
      <c r="A1979" s="12"/>
      <c r="B1979" s="2"/>
      <c r="C1979" s="2"/>
      <c r="D1979" s="2"/>
      <c r="E1979" s="2"/>
      <c r="F1979" s="2"/>
    </row>
    <row r="1980" spans="1:6" x14ac:dyDescent="0.3">
      <c r="A1980" s="12"/>
      <c r="B1980" s="2"/>
      <c r="C1980" s="2"/>
      <c r="D1980" s="2"/>
      <c r="E1980" s="2"/>
      <c r="F1980" s="2"/>
    </row>
    <row r="1981" spans="1:6" x14ac:dyDescent="0.3">
      <c r="A1981" s="12"/>
      <c r="B1981" s="2"/>
      <c r="C1981" s="2"/>
      <c r="D1981" s="2"/>
      <c r="E1981" s="2"/>
      <c r="F1981" s="2"/>
    </row>
    <row r="1982" spans="1:6" x14ac:dyDescent="0.3">
      <c r="A1982" s="12"/>
      <c r="B1982" s="2"/>
      <c r="C1982" s="2"/>
      <c r="D1982" s="2"/>
      <c r="E1982" s="2"/>
      <c r="F1982" s="2"/>
    </row>
    <row r="1983" spans="1:6" x14ac:dyDescent="0.3">
      <c r="A1983" s="12"/>
      <c r="B1983" s="2"/>
      <c r="C1983" s="2"/>
      <c r="D1983" s="2"/>
      <c r="E1983" s="2"/>
      <c r="F1983" s="2"/>
    </row>
    <row r="1984" spans="1:6" x14ac:dyDescent="0.3">
      <c r="A1984" s="12"/>
      <c r="B1984" s="2"/>
      <c r="C1984" s="2"/>
      <c r="D1984" s="2"/>
      <c r="E1984" s="2"/>
      <c r="F1984" s="2"/>
    </row>
    <row r="1985" spans="1:6" x14ac:dyDescent="0.3">
      <c r="A1985" s="12"/>
      <c r="B1985" s="2"/>
      <c r="C1985" s="2"/>
      <c r="D1985" s="2"/>
      <c r="E1985" s="2"/>
      <c r="F1985" s="2"/>
    </row>
    <row r="1986" spans="1:6" x14ac:dyDescent="0.3">
      <c r="A1986" s="12"/>
      <c r="B1986" s="2"/>
      <c r="C1986" s="2"/>
      <c r="D1986" s="2"/>
      <c r="E1986" s="2"/>
      <c r="F1986" s="2"/>
    </row>
    <row r="1987" spans="1:6" x14ac:dyDescent="0.3">
      <c r="A1987" s="12"/>
      <c r="B1987" s="2"/>
      <c r="C1987" s="2"/>
      <c r="D1987" s="2"/>
      <c r="E1987" s="2"/>
      <c r="F1987" s="2"/>
    </row>
    <row r="1988" spans="1:6" x14ac:dyDescent="0.3">
      <c r="A1988" s="12"/>
      <c r="B1988" s="2"/>
      <c r="C1988" s="2"/>
      <c r="D1988" s="2"/>
      <c r="E1988" s="2"/>
      <c r="F1988" s="2"/>
    </row>
    <row r="1989" spans="1:6" x14ac:dyDescent="0.3">
      <c r="A1989" s="12"/>
      <c r="B1989" s="2"/>
      <c r="C1989" s="2"/>
      <c r="D1989" s="2"/>
      <c r="E1989" s="2"/>
      <c r="F1989" s="2"/>
    </row>
    <row r="1990" spans="1:6" x14ac:dyDescent="0.3">
      <c r="A1990" s="12"/>
      <c r="B1990" s="2"/>
      <c r="C1990" s="2"/>
      <c r="D1990" s="2"/>
      <c r="E1990" s="2"/>
      <c r="F1990" s="2"/>
    </row>
    <row r="1991" spans="1:6" x14ac:dyDescent="0.3">
      <c r="A1991" s="12"/>
      <c r="B1991" s="2"/>
      <c r="C1991" s="2"/>
      <c r="D1991" s="2"/>
      <c r="E1991" s="2"/>
      <c r="F1991" s="2"/>
    </row>
    <row r="1992" spans="1:6" x14ac:dyDescent="0.3">
      <c r="A1992" s="12"/>
      <c r="B1992" s="2"/>
      <c r="C1992" s="2"/>
      <c r="D1992" s="2"/>
      <c r="E1992" s="2"/>
      <c r="F1992" s="2"/>
    </row>
    <row r="1993" spans="1:6" x14ac:dyDescent="0.3">
      <c r="A1993" s="12"/>
      <c r="B1993" s="2"/>
      <c r="C1993" s="2"/>
      <c r="D1993" s="2"/>
      <c r="E1993" s="2"/>
      <c r="F1993" s="2"/>
    </row>
    <row r="1994" spans="1:6" x14ac:dyDescent="0.3">
      <c r="A1994" s="12"/>
      <c r="B1994" s="2"/>
      <c r="C1994" s="2"/>
      <c r="D1994" s="2"/>
      <c r="E1994" s="2"/>
      <c r="F1994" s="2"/>
    </row>
    <row r="1995" spans="1:6" x14ac:dyDescent="0.3">
      <c r="A1995" s="12"/>
      <c r="B1995" s="2"/>
      <c r="C1995" s="2"/>
      <c r="D1995" s="2"/>
      <c r="E1995" s="2"/>
      <c r="F1995" s="2"/>
    </row>
    <row r="1996" spans="1:6" x14ac:dyDescent="0.3">
      <c r="A1996" s="12"/>
      <c r="B1996" s="2"/>
      <c r="C1996" s="2"/>
      <c r="D1996" s="2"/>
      <c r="E1996" s="2"/>
      <c r="F1996" s="2"/>
    </row>
    <row r="1997" spans="1:6" x14ac:dyDescent="0.3">
      <c r="A1997" s="12"/>
      <c r="B1997" s="2"/>
      <c r="C1997" s="2"/>
      <c r="D1997" s="2"/>
      <c r="E1997" s="2"/>
      <c r="F1997" s="2"/>
    </row>
    <row r="1998" spans="1:6" x14ac:dyDescent="0.3">
      <c r="A1998" s="12"/>
      <c r="B1998" s="2"/>
      <c r="C1998" s="2"/>
      <c r="D1998" s="2"/>
      <c r="E1998" s="2"/>
      <c r="F1998" s="2"/>
    </row>
    <row r="1999" spans="1:6" x14ac:dyDescent="0.3">
      <c r="A1999" s="12"/>
      <c r="B1999" s="2"/>
      <c r="C1999" s="2"/>
      <c r="D1999" s="2"/>
      <c r="E1999" s="2"/>
      <c r="F1999" s="2"/>
    </row>
    <row r="2000" spans="1:6" x14ac:dyDescent="0.3">
      <c r="A2000" s="12"/>
      <c r="B2000" s="2"/>
      <c r="C2000" s="2"/>
      <c r="D2000" s="2"/>
      <c r="E2000" s="2"/>
      <c r="F2000" s="2"/>
    </row>
    <row r="2001" spans="1:6" x14ac:dyDescent="0.3">
      <c r="A2001" s="12"/>
      <c r="B2001" s="2"/>
      <c r="C2001" s="2"/>
      <c r="D2001" s="2"/>
      <c r="E2001" s="2"/>
      <c r="F2001" s="2"/>
    </row>
    <row r="2002" spans="1:6" x14ac:dyDescent="0.3">
      <c r="A2002" s="12"/>
      <c r="B2002" s="2"/>
      <c r="C2002" s="2"/>
      <c r="D2002" s="2"/>
      <c r="E2002" s="2"/>
      <c r="F2002" s="2"/>
    </row>
    <row r="2003" spans="1:6" x14ac:dyDescent="0.3">
      <c r="A2003" s="12"/>
      <c r="B2003" s="2"/>
      <c r="C2003" s="2"/>
      <c r="D2003" s="2"/>
      <c r="E2003" s="2"/>
      <c r="F2003" s="2"/>
    </row>
    <row r="2004" spans="1:6" x14ac:dyDescent="0.3">
      <c r="A2004" s="12"/>
      <c r="B2004" s="2"/>
      <c r="C2004" s="2"/>
      <c r="D2004" s="2"/>
      <c r="E2004" s="2"/>
      <c r="F2004" s="2"/>
    </row>
    <row r="2005" spans="1:6" x14ac:dyDescent="0.3">
      <c r="A2005" s="12"/>
      <c r="B2005" s="2"/>
      <c r="C2005" s="2"/>
      <c r="D2005" s="2"/>
      <c r="E2005" s="2"/>
      <c r="F2005" s="2"/>
    </row>
    <row r="2006" spans="1:6" x14ac:dyDescent="0.3">
      <c r="A2006" s="12"/>
      <c r="B2006" s="2"/>
      <c r="C2006" s="2"/>
      <c r="D2006" s="2"/>
      <c r="E2006" s="2"/>
      <c r="F2006" s="2"/>
    </row>
    <row r="2007" spans="1:6" x14ac:dyDescent="0.3">
      <c r="A2007" s="12"/>
      <c r="B2007" s="2"/>
      <c r="C2007" s="2"/>
      <c r="D2007" s="2"/>
      <c r="E2007" s="2"/>
      <c r="F2007" s="2"/>
    </row>
    <row r="2008" spans="1:6" x14ac:dyDescent="0.3">
      <c r="A2008" s="12"/>
      <c r="B2008" s="2"/>
      <c r="C2008" s="2"/>
      <c r="D2008" s="2"/>
      <c r="E2008" s="2"/>
      <c r="F2008" s="2"/>
    </row>
    <row r="2009" spans="1:6" x14ac:dyDescent="0.3">
      <c r="A2009" s="12"/>
      <c r="B2009" s="2"/>
      <c r="C2009" s="2"/>
      <c r="D2009" s="2"/>
      <c r="E2009" s="2"/>
      <c r="F2009" s="2"/>
    </row>
    <row r="2010" spans="1:6" x14ac:dyDescent="0.3">
      <c r="A2010" s="12"/>
      <c r="B2010" s="2"/>
      <c r="C2010" s="2"/>
      <c r="D2010" s="2"/>
      <c r="E2010" s="2"/>
      <c r="F2010" s="2"/>
    </row>
    <row r="2011" spans="1:6" x14ac:dyDescent="0.3">
      <c r="A2011" s="12"/>
      <c r="B2011" s="2"/>
      <c r="C2011" s="2"/>
      <c r="D2011" s="2"/>
      <c r="E2011" s="2"/>
      <c r="F2011" s="2"/>
    </row>
    <row r="2012" spans="1:6" x14ac:dyDescent="0.3">
      <c r="A2012" s="12"/>
      <c r="B2012" s="2"/>
      <c r="C2012" s="2"/>
      <c r="D2012" s="2"/>
      <c r="E2012" s="2"/>
      <c r="F2012" s="2"/>
    </row>
    <row r="2013" spans="1:6" x14ac:dyDescent="0.3">
      <c r="A2013" s="12"/>
      <c r="B2013" s="2"/>
      <c r="C2013" s="2"/>
      <c r="D2013" s="2"/>
      <c r="E2013" s="2"/>
      <c r="F2013" s="2"/>
    </row>
    <row r="2014" spans="1:6" x14ac:dyDescent="0.3">
      <c r="A2014" s="12"/>
      <c r="B2014" s="2"/>
      <c r="C2014" s="2"/>
      <c r="D2014" s="2"/>
      <c r="E2014" s="2"/>
      <c r="F2014" s="2"/>
    </row>
    <row r="2015" spans="1:6" x14ac:dyDescent="0.3">
      <c r="A2015" s="12"/>
      <c r="B2015" s="2"/>
      <c r="C2015" s="2"/>
      <c r="D2015" s="2"/>
      <c r="E2015" s="2"/>
      <c r="F2015" s="2"/>
    </row>
    <row r="2016" spans="1:6" x14ac:dyDescent="0.3">
      <c r="A2016" s="12"/>
      <c r="B2016" s="2"/>
      <c r="C2016" s="2"/>
      <c r="D2016" s="2"/>
      <c r="E2016" s="2"/>
      <c r="F2016" s="2"/>
    </row>
    <row r="2017" spans="1:6" x14ac:dyDescent="0.3">
      <c r="A2017" s="12"/>
      <c r="B2017" s="2"/>
      <c r="C2017" s="2"/>
      <c r="D2017" s="2"/>
      <c r="E2017" s="2"/>
      <c r="F2017" s="2"/>
    </row>
    <row r="2018" spans="1:6" x14ac:dyDescent="0.3">
      <c r="A2018" s="12"/>
      <c r="B2018" s="2"/>
      <c r="C2018" s="2"/>
      <c r="D2018" s="2"/>
      <c r="E2018" s="2"/>
      <c r="F2018" s="2"/>
    </row>
    <row r="2019" spans="1:6" x14ac:dyDescent="0.3">
      <c r="A2019" s="12"/>
      <c r="B2019" s="2"/>
      <c r="C2019" s="2"/>
      <c r="D2019" s="2"/>
      <c r="E2019" s="2"/>
      <c r="F2019" s="2"/>
    </row>
    <row r="2020" spans="1:6" x14ac:dyDescent="0.3">
      <c r="A2020" s="12"/>
      <c r="B2020" s="2"/>
      <c r="C2020" s="2"/>
      <c r="D2020" s="2"/>
      <c r="E2020" s="2"/>
      <c r="F2020" s="2"/>
    </row>
    <row r="2021" spans="1:6" x14ac:dyDescent="0.3">
      <c r="A2021" s="12"/>
      <c r="B2021" s="2"/>
      <c r="C2021" s="2"/>
      <c r="D2021" s="2"/>
      <c r="E2021" s="2"/>
      <c r="F2021" s="2"/>
    </row>
    <row r="2022" spans="1:6" x14ac:dyDescent="0.3">
      <c r="A2022" s="12"/>
      <c r="B2022" s="2"/>
      <c r="C2022" s="2"/>
      <c r="D2022" s="2"/>
      <c r="E2022" s="2"/>
      <c r="F2022" s="2"/>
    </row>
    <row r="2023" spans="1:6" x14ac:dyDescent="0.3">
      <c r="A2023" s="12"/>
      <c r="B2023" s="2"/>
      <c r="C2023" s="2"/>
      <c r="D2023" s="2"/>
      <c r="E2023" s="2"/>
      <c r="F2023" s="2"/>
    </row>
    <row r="2024" spans="1:6" x14ac:dyDescent="0.3">
      <c r="A2024" s="12"/>
      <c r="B2024" s="2"/>
      <c r="C2024" s="2"/>
      <c r="D2024" s="2"/>
      <c r="E2024" s="2"/>
      <c r="F2024" s="2"/>
    </row>
    <row r="2025" spans="1:6" x14ac:dyDescent="0.3">
      <c r="A2025" s="12"/>
      <c r="B2025" s="2"/>
      <c r="C2025" s="2"/>
      <c r="D2025" s="2"/>
      <c r="E2025" s="2"/>
      <c r="F2025" s="2"/>
    </row>
    <row r="2026" spans="1:6" x14ac:dyDescent="0.3">
      <c r="A2026" s="12"/>
      <c r="B2026" s="2"/>
      <c r="C2026" s="2"/>
      <c r="D2026" s="2"/>
      <c r="E2026" s="2"/>
      <c r="F2026" s="2"/>
    </row>
    <row r="2027" spans="1:6" x14ac:dyDescent="0.3">
      <c r="A2027" s="12"/>
      <c r="B2027" s="2"/>
      <c r="C2027" s="2"/>
      <c r="D2027" s="2"/>
      <c r="E2027" s="2"/>
      <c r="F2027" s="2"/>
    </row>
    <row r="2028" spans="1:6" x14ac:dyDescent="0.3">
      <c r="A2028" s="12"/>
      <c r="B2028" s="2"/>
      <c r="C2028" s="2"/>
      <c r="D2028" s="2"/>
      <c r="E2028" s="2"/>
      <c r="F2028" s="2"/>
    </row>
    <row r="2029" spans="1:6" x14ac:dyDescent="0.3">
      <c r="A2029" s="12"/>
      <c r="B2029" s="2"/>
      <c r="C2029" s="2"/>
      <c r="D2029" s="2"/>
      <c r="E2029" s="2"/>
      <c r="F2029" s="2"/>
    </row>
    <row r="2030" spans="1:6" x14ac:dyDescent="0.3">
      <c r="A2030" s="12"/>
      <c r="B2030" s="2"/>
      <c r="C2030" s="2"/>
      <c r="D2030" s="2"/>
      <c r="E2030" s="2"/>
      <c r="F2030" s="2"/>
    </row>
    <row r="2031" spans="1:6" x14ac:dyDescent="0.3">
      <c r="A2031" s="12"/>
      <c r="B2031" s="2"/>
      <c r="C2031" s="2"/>
      <c r="D2031" s="2"/>
      <c r="E2031" s="2"/>
      <c r="F2031" s="2"/>
    </row>
    <row r="2032" spans="1:6" x14ac:dyDescent="0.3">
      <c r="A2032" s="12"/>
      <c r="B2032" s="2"/>
      <c r="C2032" s="2"/>
      <c r="D2032" s="2"/>
      <c r="E2032" s="2"/>
      <c r="F2032" s="2"/>
    </row>
    <row r="2033" spans="1:6" x14ac:dyDescent="0.3">
      <c r="A2033" s="12"/>
      <c r="B2033" s="2"/>
      <c r="C2033" s="2"/>
      <c r="D2033" s="2"/>
      <c r="E2033" s="2"/>
      <c r="F2033" s="2"/>
    </row>
    <row r="2034" spans="1:6" x14ac:dyDescent="0.3">
      <c r="A2034" s="12"/>
      <c r="B2034" s="2"/>
      <c r="C2034" s="2"/>
      <c r="D2034" s="2"/>
      <c r="E2034" s="2"/>
      <c r="F2034" s="2"/>
    </row>
    <row r="2035" spans="1:6" x14ac:dyDescent="0.3">
      <c r="A2035" s="12"/>
      <c r="B2035" s="2"/>
      <c r="C2035" s="2"/>
      <c r="D2035" s="2"/>
      <c r="E2035" s="2"/>
      <c r="F2035" s="2"/>
    </row>
    <row r="2036" spans="1:6" x14ac:dyDescent="0.3">
      <c r="A2036" s="12"/>
      <c r="B2036" s="2"/>
      <c r="C2036" s="2"/>
      <c r="D2036" s="2"/>
      <c r="E2036" s="2"/>
      <c r="F2036" s="2"/>
    </row>
    <row r="2037" spans="1:6" x14ac:dyDescent="0.3">
      <c r="A2037" s="12"/>
      <c r="B2037" s="2"/>
      <c r="C2037" s="2"/>
      <c r="D2037" s="2"/>
      <c r="E2037" s="2"/>
      <c r="F2037" s="2"/>
    </row>
    <row r="2038" spans="1:6" x14ac:dyDescent="0.3">
      <c r="A2038" s="12"/>
      <c r="B2038" s="2"/>
      <c r="C2038" s="2"/>
      <c r="D2038" s="2"/>
      <c r="E2038" s="2"/>
      <c r="F2038" s="2"/>
    </row>
    <row r="2039" spans="1:6" x14ac:dyDescent="0.3">
      <c r="A2039" s="12"/>
      <c r="B2039" s="2"/>
      <c r="C2039" s="2"/>
      <c r="D2039" s="2"/>
      <c r="E2039" s="2"/>
      <c r="F2039" s="2"/>
    </row>
    <row r="2040" spans="1:6" x14ac:dyDescent="0.3">
      <c r="A2040" s="12"/>
      <c r="B2040" s="2"/>
      <c r="C2040" s="2"/>
      <c r="D2040" s="2"/>
      <c r="E2040" s="2"/>
      <c r="F2040" s="2"/>
    </row>
    <row r="2041" spans="1:6" x14ac:dyDescent="0.3">
      <c r="A2041" s="12"/>
      <c r="B2041" s="2"/>
      <c r="C2041" s="2"/>
      <c r="D2041" s="2"/>
      <c r="E2041" s="2"/>
      <c r="F2041" s="2"/>
    </row>
    <row r="2042" spans="1:6" x14ac:dyDescent="0.3">
      <c r="A2042" s="12"/>
      <c r="B2042" s="2"/>
      <c r="C2042" s="2"/>
      <c r="D2042" s="2"/>
      <c r="E2042" s="2"/>
      <c r="F2042" s="2"/>
    </row>
    <row r="2043" spans="1:6" x14ac:dyDescent="0.3">
      <c r="A2043" s="12"/>
      <c r="B2043" s="2"/>
      <c r="C2043" s="2"/>
      <c r="D2043" s="2"/>
      <c r="E2043" s="2"/>
      <c r="F2043" s="2"/>
    </row>
    <row r="2044" spans="1:6" x14ac:dyDescent="0.3">
      <c r="A2044" s="12"/>
      <c r="B2044" s="2"/>
      <c r="C2044" s="2"/>
      <c r="D2044" s="2"/>
      <c r="E2044" s="2"/>
      <c r="F2044" s="2"/>
    </row>
    <row r="2045" spans="1:6" x14ac:dyDescent="0.3">
      <c r="A2045" s="12"/>
      <c r="B2045" s="2"/>
      <c r="C2045" s="2"/>
      <c r="D2045" s="2"/>
      <c r="E2045" s="2"/>
      <c r="F2045" s="2"/>
    </row>
    <row r="2046" spans="1:6" x14ac:dyDescent="0.3">
      <c r="A2046" s="12"/>
      <c r="B2046" s="2"/>
      <c r="C2046" s="2"/>
      <c r="D2046" s="2"/>
      <c r="E2046" s="2"/>
      <c r="F2046" s="2"/>
    </row>
    <row r="2047" spans="1:6" x14ac:dyDescent="0.3">
      <c r="A2047" s="12"/>
      <c r="B2047" s="2"/>
      <c r="C2047" s="2"/>
      <c r="D2047" s="2"/>
      <c r="E2047" s="2"/>
      <c r="F2047" s="2"/>
    </row>
    <row r="2048" spans="1:6" x14ac:dyDescent="0.3">
      <c r="A2048" s="12"/>
      <c r="B2048" s="2"/>
      <c r="C2048" s="2"/>
      <c r="D2048" s="2"/>
      <c r="E2048" s="2"/>
      <c r="F2048" s="2"/>
    </row>
    <row r="2049" spans="1:6" x14ac:dyDescent="0.3">
      <c r="A2049" s="12"/>
      <c r="B2049" s="2"/>
      <c r="C2049" s="2"/>
      <c r="D2049" s="2"/>
      <c r="E2049" s="2"/>
      <c r="F2049" s="2"/>
    </row>
    <row r="2050" spans="1:6" x14ac:dyDescent="0.3">
      <c r="A2050" s="12"/>
      <c r="B2050" s="2"/>
      <c r="C2050" s="2"/>
      <c r="D2050" s="2"/>
      <c r="E2050" s="2"/>
      <c r="F2050" s="2"/>
    </row>
    <row r="2051" spans="1:6" x14ac:dyDescent="0.3">
      <c r="A2051" s="12"/>
      <c r="B2051" s="2"/>
      <c r="C2051" s="2"/>
      <c r="D2051" s="2"/>
      <c r="E2051" s="2"/>
      <c r="F2051" s="2"/>
    </row>
    <row r="2052" spans="1:6" x14ac:dyDescent="0.3">
      <c r="A2052" s="12"/>
      <c r="B2052" s="2"/>
      <c r="C2052" s="2"/>
      <c r="D2052" s="2"/>
      <c r="E2052" s="2"/>
      <c r="F2052" s="2"/>
    </row>
    <row r="2053" spans="1:6" x14ac:dyDescent="0.3">
      <c r="A2053" s="12"/>
      <c r="B2053" s="2"/>
      <c r="C2053" s="2"/>
      <c r="D2053" s="2"/>
      <c r="E2053" s="2"/>
      <c r="F2053" s="2"/>
    </row>
    <row r="2054" spans="1:6" x14ac:dyDescent="0.3">
      <c r="A2054" s="12"/>
      <c r="B2054" s="2"/>
      <c r="C2054" s="2"/>
      <c r="D2054" s="2"/>
      <c r="E2054" s="2"/>
      <c r="F2054" s="2"/>
    </row>
    <row r="2055" spans="1:6" x14ac:dyDescent="0.3">
      <c r="A2055" s="12"/>
      <c r="B2055" s="2"/>
      <c r="C2055" s="2"/>
      <c r="D2055" s="2"/>
      <c r="E2055" s="2"/>
      <c r="F2055" s="2"/>
    </row>
    <row r="2056" spans="1:6" x14ac:dyDescent="0.3">
      <c r="A2056" s="12"/>
      <c r="B2056" s="2"/>
      <c r="C2056" s="2"/>
      <c r="D2056" s="2"/>
      <c r="E2056" s="2"/>
      <c r="F2056" s="2"/>
    </row>
    <row r="2057" spans="1:6" x14ac:dyDescent="0.3">
      <c r="A2057" s="12"/>
      <c r="B2057" s="2"/>
      <c r="C2057" s="2"/>
      <c r="D2057" s="2"/>
      <c r="E2057" s="2"/>
      <c r="F2057" s="2"/>
    </row>
    <row r="2058" spans="1:6" x14ac:dyDescent="0.3">
      <c r="A2058" s="12"/>
      <c r="B2058" s="2"/>
      <c r="C2058" s="2"/>
      <c r="D2058" s="2"/>
      <c r="E2058" s="2"/>
      <c r="F2058" s="2"/>
    </row>
    <row r="2059" spans="1:6" x14ac:dyDescent="0.3">
      <c r="A2059" s="12"/>
      <c r="B2059" s="2"/>
      <c r="C2059" s="2"/>
      <c r="D2059" s="2"/>
      <c r="E2059" s="2"/>
      <c r="F2059" s="2"/>
    </row>
    <row r="2060" spans="1:6" x14ac:dyDescent="0.3">
      <c r="A2060" s="12"/>
      <c r="B2060" s="2"/>
      <c r="C2060" s="2"/>
      <c r="D2060" s="2"/>
      <c r="E2060" s="2"/>
      <c r="F2060" s="2"/>
    </row>
    <row r="2061" spans="1:6" x14ac:dyDescent="0.3">
      <c r="A2061" s="12"/>
      <c r="B2061" s="2"/>
      <c r="C2061" s="2"/>
      <c r="D2061" s="2"/>
      <c r="E2061" s="2"/>
      <c r="F2061" s="2"/>
    </row>
    <row r="2062" spans="1:6" x14ac:dyDescent="0.3">
      <c r="A2062" s="12"/>
      <c r="B2062" s="2"/>
      <c r="C2062" s="2"/>
      <c r="D2062" s="2"/>
      <c r="E2062" s="2"/>
      <c r="F2062" s="2"/>
    </row>
    <row r="2063" spans="1:6" x14ac:dyDescent="0.3">
      <c r="A2063" s="12"/>
      <c r="B2063" s="2"/>
      <c r="C2063" s="2"/>
      <c r="D2063" s="2"/>
      <c r="E2063" s="2"/>
      <c r="F2063" s="2"/>
    </row>
    <row r="2064" spans="1:6" x14ac:dyDescent="0.3">
      <c r="A2064" s="12"/>
      <c r="B2064" s="2"/>
      <c r="C2064" s="2"/>
      <c r="D2064" s="2"/>
      <c r="E2064" s="2"/>
      <c r="F2064" s="2"/>
    </row>
    <row r="2065" spans="1:6" x14ac:dyDescent="0.3">
      <c r="A2065" s="12"/>
      <c r="B2065" s="2"/>
      <c r="C2065" s="2"/>
      <c r="D2065" s="2"/>
      <c r="E2065" s="2"/>
      <c r="F2065" s="2"/>
    </row>
    <row r="2066" spans="1:6" x14ac:dyDescent="0.3">
      <c r="A2066" s="12"/>
      <c r="B2066" s="2"/>
      <c r="C2066" s="2"/>
      <c r="D2066" s="2"/>
      <c r="E2066" s="2"/>
      <c r="F2066" s="2"/>
    </row>
    <row r="2067" spans="1:6" x14ac:dyDescent="0.3">
      <c r="A2067" s="12"/>
      <c r="B2067" s="2"/>
      <c r="C2067" s="2"/>
      <c r="D2067" s="2"/>
      <c r="E2067" s="2"/>
      <c r="F2067" s="2"/>
    </row>
    <row r="2068" spans="1:6" x14ac:dyDescent="0.3">
      <c r="A2068" s="12"/>
      <c r="B2068" s="2"/>
      <c r="C2068" s="2"/>
      <c r="D2068" s="2"/>
      <c r="E2068" s="2"/>
      <c r="F2068" s="2"/>
    </row>
    <row r="2069" spans="1:6" x14ac:dyDescent="0.3">
      <c r="A2069" s="12"/>
      <c r="B2069" s="2"/>
      <c r="C2069" s="2"/>
      <c r="D2069" s="2"/>
      <c r="E2069" s="2"/>
      <c r="F2069" s="2"/>
    </row>
    <row r="2070" spans="1:6" x14ac:dyDescent="0.3">
      <c r="A2070" s="12"/>
      <c r="B2070" s="2"/>
      <c r="C2070" s="2"/>
      <c r="D2070" s="2"/>
      <c r="E2070" s="2"/>
      <c r="F2070" s="2"/>
    </row>
    <row r="2071" spans="1:6" x14ac:dyDescent="0.3">
      <c r="A2071" s="12"/>
      <c r="B2071" s="2"/>
      <c r="C2071" s="2"/>
      <c r="D2071" s="2"/>
      <c r="E2071" s="2"/>
      <c r="F2071" s="2"/>
    </row>
    <row r="2072" spans="1:6" x14ac:dyDescent="0.3">
      <c r="A2072" s="12"/>
      <c r="B2072" s="2"/>
      <c r="C2072" s="2"/>
      <c r="D2072" s="2"/>
      <c r="E2072" s="2"/>
      <c r="F2072" s="2"/>
    </row>
    <row r="2073" spans="1:6" x14ac:dyDescent="0.3">
      <c r="A2073" s="12"/>
      <c r="B2073" s="2"/>
      <c r="C2073" s="2"/>
      <c r="D2073" s="2"/>
      <c r="E2073" s="2"/>
      <c r="F2073" s="2"/>
    </row>
    <row r="2074" spans="1:6" x14ac:dyDescent="0.3">
      <c r="A2074" s="12"/>
      <c r="B2074" s="2"/>
      <c r="C2074" s="2"/>
      <c r="D2074" s="2"/>
      <c r="E2074" s="2"/>
      <c r="F2074" s="2"/>
    </row>
    <row r="2075" spans="1:6" x14ac:dyDescent="0.3">
      <c r="A2075" s="12"/>
      <c r="B2075" s="2"/>
      <c r="C2075" s="2"/>
      <c r="D2075" s="2"/>
      <c r="E2075" s="2"/>
      <c r="F2075" s="2"/>
    </row>
    <row r="2076" spans="1:6" x14ac:dyDescent="0.3">
      <c r="A2076" s="12"/>
      <c r="B2076" s="2"/>
      <c r="C2076" s="2"/>
      <c r="D2076" s="2"/>
      <c r="E2076" s="2"/>
      <c r="F2076" s="2"/>
    </row>
    <row r="2077" spans="1:6" x14ac:dyDescent="0.3">
      <c r="A2077" s="12"/>
      <c r="B2077" s="2"/>
      <c r="C2077" s="2"/>
      <c r="D2077" s="2"/>
      <c r="E2077" s="2"/>
      <c r="F2077" s="2"/>
    </row>
    <row r="2078" spans="1:6" x14ac:dyDescent="0.3">
      <c r="A2078" s="12"/>
      <c r="B2078" s="2"/>
      <c r="C2078" s="2"/>
      <c r="D2078" s="2"/>
      <c r="E2078" s="2"/>
      <c r="F2078" s="2"/>
    </row>
    <row r="2079" spans="1:6" x14ac:dyDescent="0.3">
      <c r="A2079" s="12"/>
      <c r="B2079" s="2"/>
      <c r="C2079" s="2"/>
      <c r="D2079" s="2"/>
      <c r="E2079" s="2"/>
      <c r="F2079" s="2"/>
    </row>
    <row r="2080" spans="1:6" x14ac:dyDescent="0.3">
      <c r="A2080" s="12"/>
      <c r="B2080" s="2"/>
      <c r="C2080" s="2"/>
      <c r="D2080" s="2"/>
      <c r="E2080" s="2"/>
      <c r="F2080" s="2"/>
    </row>
    <row r="2081" spans="1:6" x14ac:dyDescent="0.3">
      <c r="A2081" s="12"/>
      <c r="B2081" s="2"/>
      <c r="C2081" s="2"/>
      <c r="D2081" s="2"/>
      <c r="E2081" s="2"/>
      <c r="F2081" s="2"/>
    </row>
    <row r="2082" spans="1:6" x14ac:dyDescent="0.3">
      <c r="A2082" s="12"/>
      <c r="B2082" s="2"/>
      <c r="C2082" s="2"/>
      <c r="D2082" s="2"/>
      <c r="E2082" s="2"/>
      <c r="F2082" s="2"/>
    </row>
    <row r="2083" spans="1:6" x14ac:dyDescent="0.3">
      <c r="A2083" s="12"/>
      <c r="B2083" s="2"/>
      <c r="C2083" s="2"/>
      <c r="D2083" s="2"/>
      <c r="E2083" s="2"/>
      <c r="F2083" s="2"/>
    </row>
    <row r="2084" spans="1:6" x14ac:dyDescent="0.3">
      <c r="A2084" s="12"/>
      <c r="B2084" s="2"/>
      <c r="C2084" s="2"/>
      <c r="D2084" s="2"/>
      <c r="E2084" s="2"/>
      <c r="F2084" s="2"/>
    </row>
    <row r="2085" spans="1:6" x14ac:dyDescent="0.3">
      <c r="A2085" s="12"/>
      <c r="B2085" s="2"/>
      <c r="C2085" s="2"/>
      <c r="D2085" s="2"/>
      <c r="E2085" s="2"/>
      <c r="F2085" s="2"/>
    </row>
    <row r="2086" spans="1:6" x14ac:dyDescent="0.3">
      <c r="A2086" s="12"/>
      <c r="B2086" s="2"/>
      <c r="C2086" s="2"/>
      <c r="D2086" s="2"/>
      <c r="E2086" s="2"/>
      <c r="F2086" s="2"/>
    </row>
    <row r="2087" spans="1:6" x14ac:dyDescent="0.3">
      <c r="A2087" s="12"/>
      <c r="B2087" s="2"/>
      <c r="C2087" s="2"/>
      <c r="D2087" s="2"/>
      <c r="E2087" s="2"/>
      <c r="F2087" s="2"/>
    </row>
    <row r="2088" spans="1:6" x14ac:dyDescent="0.3">
      <c r="A2088" s="12"/>
      <c r="B2088" s="2"/>
      <c r="C2088" s="2"/>
      <c r="D2088" s="2"/>
      <c r="E2088" s="2"/>
      <c r="F2088" s="2"/>
    </row>
    <row r="2089" spans="1:6" x14ac:dyDescent="0.3">
      <c r="A2089" s="12"/>
      <c r="B2089" s="2"/>
      <c r="C2089" s="2"/>
      <c r="D2089" s="2"/>
      <c r="E2089" s="2"/>
      <c r="F2089" s="2"/>
    </row>
    <row r="2090" spans="1:6" x14ac:dyDescent="0.3">
      <c r="A2090" s="12"/>
      <c r="B2090" s="2"/>
      <c r="C2090" s="2"/>
      <c r="D2090" s="2"/>
      <c r="E2090" s="2"/>
      <c r="F2090" s="2"/>
    </row>
    <row r="2091" spans="1:6" x14ac:dyDescent="0.3">
      <c r="A2091" s="12"/>
      <c r="B2091" s="2"/>
      <c r="C2091" s="2"/>
      <c r="D2091" s="2"/>
      <c r="E2091" s="2"/>
      <c r="F2091" s="2"/>
    </row>
    <row r="2092" spans="1:6" x14ac:dyDescent="0.3">
      <c r="A2092" s="12"/>
      <c r="B2092" s="2"/>
      <c r="C2092" s="2"/>
      <c r="D2092" s="2"/>
      <c r="E2092" s="2"/>
      <c r="F2092" s="2"/>
    </row>
    <row r="2093" spans="1:6" x14ac:dyDescent="0.3">
      <c r="A2093" s="12"/>
      <c r="B2093" s="2"/>
      <c r="C2093" s="2"/>
      <c r="D2093" s="2"/>
      <c r="E2093" s="2"/>
      <c r="F2093" s="2"/>
    </row>
    <row r="2094" spans="1:6" x14ac:dyDescent="0.3">
      <c r="A2094" s="12"/>
      <c r="B2094" s="2"/>
      <c r="C2094" s="2"/>
      <c r="D2094" s="2"/>
      <c r="E2094" s="2"/>
      <c r="F2094" s="2"/>
    </row>
    <row r="2095" spans="1:6" x14ac:dyDescent="0.3">
      <c r="A2095" s="12"/>
      <c r="B2095" s="2"/>
      <c r="C2095" s="2"/>
      <c r="D2095" s="2"/>
      <c r="E2095" s="2"/>
      <c r="F2095" s="2"/>
    </row>
    <row r="2096" spans="1:6" x14ac:dyDescent="0.3">
      <c r="A2096" s="12"/>
      <c r="B2096" s="2"/>
      <c r="C2096" s="2"/>
      <c r="D2096" s="2"/>
      <c r="E2096" s="2"/>
      <c r="F2096" s="2"/>
    </row>
    <row r="2097" spans="1:6" x14ac:dyDescent="0.3">
      <c r="A2097" s="12"/>
      <c r="B2097" s="2"/>
      <c r="C2097" s="2"/>
      <c r="D2097" s="2"/>
      <c r="E2097" s="2"/>
      <c r="F2097" s="2"/>
    </row>
    <row r="2098" spans="1:6" x14ac:dyDescent="0.3">
      <c r="A2098" s="12"/>
      <c r="B2098" s="2"/>
      <c r="C2098" s="2"/>
      <c r="D2098" s="2"/>
      <c r="E2098" s="2"/>
      <c r="F2098" s="2"/>
    </row>
    <row r="2099" spans="1:6" x14ac:dyDescent="0.3">
      <c r="A2099" s="12"/>
      <c r="B2099" s="2"/>
      <c r="C2099" s="2"/>
      <c r="D2099" s="2"/>
      <c r="E2099" s="2"/>
      <c r="F2099" s="2"/>
    </row>
    <row r="2100" spans="1:6" x14ac:dyDescent="0.3">
      <c r="A2100" s="12"/>
      <c r="B2100" s="2"/>
      <c r="C2100" s="2"/>
      <c r="D2100" s="2"/>
      <c r="E2100" s="2"/>
      <c r="F2100" s="2"/>
    </row>
    <row r="2101" spans="1:6" x14ac:dyDescent="0.3">
      <c r="A2101" s="12"/>
      <c r="B2101" s="2"/>
      <c r="C2101" s="2"/>
      <c r="D2101" s="2"/>
      <c r="E2101" s="2"/>
      <c r="F2101" s="2"/>
    </row>
    <row r="2102" spans="1:6" x14ac:dyDescent="0.3">
      <c r="A2102" s="12"/>
      <c r="B2102" s="2"/>
      <c r="C2102" s="2"/>
      <c r="D2102" s="2"/>
      <c r="E2102" s="2"/>
      <c r="F2102" s="2"/>
    </row>
    <row r="2103" spans="1:6" x14ac:dyDescent="0.3">
      <c r="A2103" s="12"/>
      <c r="B2103" s="2"/>
      <c r="C2103" s="2"/>
      <c r="D2103" s="2"/>
      <c r="E2103" s="2"/>
      <c r="F2103" s="2"/>
    </row>
    <row r="2104" spans="1:6" x14ac:dyDescent="0.3">
      <c r="A2104" s="12"/>
      <c r="B2104" s="2"/>
      <c r="C2104" s="2"/>
      <c r="D2104" s="2"/>
      <c r="E2104" s="2"/>
      <c r="F2104" s="2"/>
    </row>
    <row r="2105" spans="1:6" x14ac:dyDescent="0.3">
      <c r="A2105" s="12"/>
      <c r="B2105" s="2"/>
      <c r="C2105" s="2"/>
      <c r="D2105" s="2"/>
      <c r="E2105" s="2"/>
      <c r="F2105" s="2"/>
    </row>
    <row r="2106" spans="1:6" x14ac:dyDescent="0.3">
      <c r="A2106" s="12"/>
      <c r="B2106" s="2"/>
      <c r="C2106" s="2"/>
      <c r="D2106" s="2"/>
      <c r="E2106" s="2"/>
      <c r="F2106" s="2"/>
    </row>
  </sheetData>
  <phoneticPr fontId="4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Clients</vt:lpstr>
      <vt:lpstr>Services</vt:lpstr>
      <vt:lpstr>Projects</vt:lpstr>
      <vt:lpstr>Employees</vt:lpstr>
      <vt:lpstr>Project_Assignments</vt:lpstr>
      <vt:lpstr>Invoices</vt:lpstr>
      <vt:lpstr>Customer_Feedback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2026-09-18T05:04:58Z</dcterms:created>
  <dcterms:modified xsi:type="dcterms:W3CDTF">2026-09-28T10:43:52Z</dcterms:modified>
</cp:coreProperties>
</file>